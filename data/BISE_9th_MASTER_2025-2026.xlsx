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fiz Ahmed\Desktop\9th_dashboard (1)\9th_dashboard\data\"/>
    </mc:Choice>
  </mc:AlternateContent>
  <xr:revisionPtr revIDLastSave="0" documentId="13_ncr:1_{CDCADEA9-A2D7-4012-B555-7B28C7C19634}" xr6:coauthVersionLast="47" xr6:coauthVersionMax="47" xr10:uidLastSave="{00000000-0000-0000-0000-000000000000}"/>
  <bookViews>
    <workbookView xWindow="-120" yWindow="-120" windowWidth="20730" windowHeight="11040" tabRatio="811" firstSheet="11" activeTab="14" xr2:uid="{00000000-000D-0000-FFFF-FFFF00000000}"/>
  </bookViews>
  <sheets>
    <sheet name="Summary" sheetId="1" r:id="rId1"/>
    <sheet name="Overall Summary" sheetId="2" r:id="rId2"/>
    <sheet name="Swat-Overall Pass %" sheetId="3" r:id="rId3"/>
    <sheet name="Swat-Group Wise Pass %" sheetId="4" r:id="rId4"/>
    <sheet name="Swat-Subject Wise Pass %" sheetId="5" r:id="rId5"/>
    <sheet name="Abbottabad-Group Wise Pass %" sheetId="6" r:id="rId6"/>
    <sheet name="Abbottabad-Overall Pass %" sheetId="7" r:id="rId7"/>
    <sheet name="Abbottabad-Subject Wise Pass %" sheetId="8" r:id="rId8"/>
    <sheet name="Bahawalpur-General Pass Percent" sheetId="9" r:id="rId9"/>
    <sheet name="Bahawalpur-Result at a Glance" sheetId="10" r:id="rId10"/>
    <sheet name="Bahawalpur-District Wise Pass %" sheetId="11" r:id="rId11"/>
    <sheet name="Bahawalpur-Subject Wise Pass %" sheetId="12" r:id="rId12"/>
    <sheet name="Bannu-Result at a Glance" sheetId="13" r:id="rId13"/>
    <sheet name="FSD-Overall Pass %" sheetId="14" r:id="rId14"/>
    <sheet name="FSD-District Wise Regular" sheetId="15" r:id="rId15"/>
    <sheet name="FSD-District Wise Private" sheetId="16" r:id="rId16"/>
    <sheet name="FSD-Overall Statistical Data" sheetId="17" r:id="rId17"/>
    <sheet name="FSD-Subject Wise Pass % (Regula" sheetId="18" r:id="rId18"/>
    <sheet name="FSD-Subject Wise Pass % (Privat" sheetId="19" r:id="rId19"/>
    <sheet name="Gujranwala-Overall Pass %" sheetId="20" r:id="rId20"/>
    <sheet name="Gujranwala-Group Wise Pass %" sheetId="21" r:id="rId21"/>
    <sheet name="Gujranwala-Tech Group Wise Pass" sheetId="22" r:id="rId22"/>
    <sheet name="Gujranwala-Subject Wise Pass %" sheetId="23" r:id="rId23"/>
    <sheet name="Kohat-Science Group" sheetId="24" r:id="rId24"/>
    <sheet name="Kohat-General Group" sheetId="25" r:id="rId25"/>
    <sheet name="Kohat-Overall Result (9th+10th)" sheetId="26" r:id="rId26"/>
    <sheet name="Kohat-Subject Wise Pass %" sheetId="27" r:id="rId27"/>
    <sheet name="Lahore-Science Group" sheetId="28" r:id="rId28"/>
    <sheet name="Lahore-Humanities Group" sheetId="29" r:id="rId29"/>
    <sheet name="Lahore-Tech Group" sheetId="30" r:id="rId30"/>
    <sheet name="Lahore-Overall Pass %" sheetId="31" r:id="rId31"/>
    <sheet name="Lahore-Statistical Data" sheetId="32" r:id="rId32"/>
    <sheet name="Lahore-Subject Wise Pass %" sheetId="33" r:id="rId33"/>
    <sheet name="Mardan-Science Group" sheetId="34" r:id="rId34"/>
    <sheet name="Mardan-Humanities Group" sheetId="35" r:id="rId35"/>
    <sheet name="Mardan-Overall Result" sheetId="36" r:id="rId36"/>
    <sheet name="Peshawar-Group Wise Distributio" sheetId="37" r:id="rId37"/>
    <sheet name="Peshawar-Gender Wise Result" sheetId="38" r:id="rId38"/>
    <sheet name="Peshawar-Subject Wise Pass %" sheetId="39" r:id="rId39"/>
    <sheet name="Rawalpindi-Group Wise Pass %" sheetId="40" r:id="rId40"/>
    <sheet name="Rawalpindi-Matric-Tech Group Pa" sheetId="41" r:id="rId41"/>
    <sheet name="Rawalpindi-Result Statistical D" sheetId="42" r:id="rId42"/>
    <sheet name="Rawalpindi-District Wise Perfor" sheetId="43" r:id="rId43"/>
    <sheet name="Rawalpindi-Subject Wise Pass %" sheetId="44" r:id="rId44"/>
    <sheet name="Sahiwal-Overall Summary" sheetId="45" r:id="rId45"/>
    <sheet name="Sahiwal-Group Wise Pass %" sheetId="46" r:id="rId46"/>
    <sheet name="Sargodha-Overall Pass %" sheetId="47" r:id="rId47"/>
    <sheet name="Sargodha-Group Wise Pass %" sheetId="48" r:id="rId48"/>
    <sheet name="Sargodha-Statistical Data" sheetId="49" r:id="rId49"/>
    <sheet name="Sargodha-Subject Wise Pass %" sheetId="50" r:id="rId50"/>
    <sheet name="DGK-Overall Pass %" sheetId="51" r:id="rId51"/>
    <sheet name="DGK-Group Wise Regular Private" sheetId="52" r:id="rId52"/>
    <sheet name="DGK-Group Wise Male Female" sheetId="53" r:id="rId53"/>
    <sheet name="DGK-Gender Wise Pass %" sheetId="54" r:id="rId54"/>
    <sheet name="DGK-District Wise Pass %" sheetId="55" r:id="rId55"/>
    <sheet name="DGK-Statistical Data" sheetId="56" r:id="rId56"/>
    <sheet name="DGK-Subject Wise Pass %" sheetId="57" r:id="rId57"/>
    <sheet name="FBISE-Overall Pass %" sheetId="58" r:id="rId58"/>
    <sheet name="FBISE-Group Wise Pass %" sheetId="59" r:id="rId59"/>
    <sheet name="FBISE-Subject Wise Pass %" sheetId="60" r:id="rId60"/>
  </sheets>
  <definedNames>
    <definedName name="_xlnm._FilterDatabase" localSheetId="5" hidden="1">'Abbottabad-Group Wise Pass %'!$A$1:$G$17</definedName>
    <definedName name="_xlnm._FilterDatabase" localSheetId="6" hidden="1">'Abbottabad-Overall Pass %'!$A$1:$F$16</definedName>
    <definedName name="_xlnm._FilterDatabase" localSheetId="7" hidden="1">'Abbottabad-Subject Wise Pass %'!$A$1:$E$49</definedName>
    <definedName name="_xlnm._FilterDatabase" localSheetId="10" hidden="1">'Bahawalpur-District Wise Pass %'!$A$1:$K$13</definedName>
    <definedName name="_xlnm._FilterDatabase" localSheetId="8" hidden="1">'Bahawalpur-General Pass Percent'!$A$1:$M$91</definedName>
    <definedName name="_xlnm._FilterDatabase" localSheetId="9" hidden="1">'Bahawalpur-Result at a Glance'!$A$1:$D$23</definedName>
    <definedName name="_xlnm._FilterDatabase" localSheetId="11" hidden="1">'Bahawalpur-Subject Wise Pass %'!$A$1:$E$91</definedName>
    <definedName name="_xlnm._FilterDatabase" localSheetId="12" hidden="1">'Bannu-Result at a Glance'!$A$1:$L$26</definedName>
    <definedName name="_xlnm._FilterDatabase" localSheetId="54" hidden="1">'DGK-District Wise Pass %'!$A$1:$E$13</definedName>
    <definedName name="_xlnm._FilterDatabase" localSheetId="53" hidden="1">'DGK-Gender Wise Pass %'!$A$1:$E$5</definedName>
    <definedName name="_xlnm._FilterDatabase" localSheetId="52" hidden="1">'DGK-Group Wise Male Female'!$A$1:$F$9</definedName>
    <definedName name="_xlnm._FilterDatabase" localSheetId="51" hidden="1">'DGK-Group Wise Regular Private'!$A$1:$G$67</definedName>
    <definedName name="_xlnm._FilterDatabase" localSheetId="50" hidden="1">'DGK-Overall Pass %'!$A$1:$D$4</definedName>
    <definedName name="_xlnm._FilterDatabase" localSheetId="55" hidden="1">'DGK-Statistical Data'!$A$1:$N$37</definedName>
    <definedName name="_xlnm._FilterDatabase" localSheetId="56" hidden="1">'DGK-Subject Wise Pass %'!$A$1:$H$101</definedName>
    <definedName name="_xlnm._FilterDatabase" localSheetId="58" hidden="1">'FBISE-Group Wise Pass %'!$A$1:$T$31</definedName>
    <definedName name="_xlnm._FilterDatabase" localSheetId="57" hidden="1">'FBISE-Overall Pass %'!$A$1:$I$3</definedName>
    <definedName name="_xlnm._FilterDatabase" localSheetId="59" hidden="1">'FBISE-Subject Wise Pass %'!$A$1:$L$97</definedName>
    <definedName name="_xlnm._FilterDatabase" localSheetId="15" hidden="1">'FSD-District Wise Private'!$A$1:$G$53</definedName>
    <definedName name="_xlnm._FilterDatabase" localSheetId="14" hidden="1">'FSD-District Wise Regular'!$A$1:$G$51</definedName>
    <definedName name="_xlnm._FilterDatabase" localSheetId="13" hidden="1">'FSD-Overall Pass %'!$A$1:$D$4</definedName>
    <definedName name="_xlnm._FilterDatabase" localSheetId="16" hidden="1">'FSD-Overall Statistical Data'!$A$1:$G$27</definedName>
    <definedName name="_xlnm._FilterDatabase" localSheetId="18" hidden="1">'FSD-Subject Wise Pass % (Privat'!$A$1:$G$127</definedName>
    <definedName name="_xlnm._FilterDatabase" localSheetId="17" hidden="1">'FSD-Subject Wise Pass % (Regula'!$A$1:$G$117</definedName>
    <definedName name="_xlnm._FilterDatabase" localSheetId="20" hidden="1">'Gujranwala-Group Wise Pass %'!$A$3:$G$45</definedName>
    <definedName name="_xlnm._FilterDatabase" localSheetId="19" hidden="1">'Gujranwala-Overall Pass %'!$A$4:$E$10</definedName>
    <definedName name="_xlnm._FilterDatabase" localSheetId="22" hidden="1">'Gujranwala-Subject Wise Pass %'!$A$3:$E$42</definedName>
    <definedName name="_xlnm._FilterDatabase" localSheetId="21" hidden="1">'Gujranwala-Tech Group Wise Pass'!$A$3:$F$19</definedName>
    <definedName name="_xlnm._FilterDatabase" localSheetId="24" hidden="1">'Kohat-General Group'!$A$3:$E$15</definedName>
    <definedName name="_xlnm._FilterDatabase" localSheetId="23" hidden="1">'Kohat-Science Group'!$A$3:$E$9</definedName>
    <definedName name="_xlnm._FilterDatabase" localSheetId="26" hidden="1">'Kohat-Subject Wise Pass %'!$A$3:$E$54</definedName>
    <definedName name="_xlnm._FilterDatabase" localSheetId="28" hidden="1">'Lahore-Humanities Group'!$A$3:$K$9</definedName>
    <definedName name="_xlnm._FilterDatabase" localSheetId="27" hidden="1">'Lahore-Science Group'!$A$3:$K$9</definedName>
    <definedName name="_xlnm._FilterDatabase" localSheetId="31" hidden="1">'Lahore-Statistical Data'!$A$3:$I$82</definedName>
    <definedName name="_xlnm._FilterDatabase" localSheetId="32" hidden="1">'Lahore-Subject Wise Pass %'!$A$3:$K$118</definedName>
    <definedName name="_xlnm._FilterDatabase" localSheetId="29" hidden="1">'Lahore-Tech Group'!$A$3:$K$6</definedName>
    <definedName name="_xlnm._FilterDatabase" localSheetId="34" hidden="1">'Mardan-Humanities Group'!$A$3:$F$13</definedName>
    <definedName name="_xlnm._FilterDatabase" localSheetId="33" hidden="1">'Mardan-Science Group'!$A$3:$F$13</definedName>
    <definedName name="_xlnm._FilterDatabase" localSheetId="1" hidden="1">'Overall Summary'!$A$1:$E$46</definedName>
    <definedName name="_xlnm._FilterDatabase" localSheetId="37" hidden="1">'Peshawar-Gender Wise Result'!$A$3:$L$13</definedName>
    <definedName name="_xlnm._FilterDatabase" localSheetId="36" hidden="1">'Peshawar-Group Wise Distributio'!$A$3:$M$15</definedName>
    <definedName name="_xlnm._FilterDatabase" localSheetId="38" hidden="1">'Peshawar-Subject Wise Pass %'!$A$3:$E$57</definedName>
    <definedName name="_xlnm._FilterDatabase" localSheetId="42" hidden="1">'Rawalpindi-District Wise Perfor'!$A$3:$F$39</definedName>
    <definedName name="_xlnm._FilterDatabase" localSheetId="39" hidden="1">'Rawalpindi-Group Wise Pass %'!$A$3:$G$39</definedName>
    <definedName name="_xlnm._FilterDatabase" localSheetId="40" hidden="1">'Rawalpindi-Matric-Tech Group Pa'!$A$3:$E$14</definedName>
    <definedName name="_xlnm._FilterDatabase" localSheetId="41" hidden="1">'Rawalpindi-Result Statistical D'!$A$3:$G$27</definedName>
    <definedName name="_xlnm._FilterDatabase" localSheetId="43" hidden="1">'Rawalpindi-Subject Wise Pass %'!$A$3:$E$90</definedName>
    <definedName name="_xlnm._FilterDatabase" localSheetId="45" hidden="1">'Sahiwal-Group Wise Pass %'!$A$3:$G$111</definedName>
    <definedName name="_xlnm._FilterDatabase" localSheetId="47" hidden="1">'Sargodha-Group Wise Pass %'!$A$1:$G$103</definedName>
    <definedName name="_xlnm._FilterDatabase" localSheetId="46" hidden="1">'Sargodha-Overall Pass %'!$A$1:$E$3</definedName>
    <definedName name="_xlnm._FilterDatabase" localSheetId="48" hidden="1">'Sargodha-Statistical Data'!$A$1:$F$41</definedName>
    <definedName name="_xlnm._FilterDatabase" localSheetId="49" hidden="1">'Sargodha-Subject Wise Pass %'!$A$1:$O$97</definedName>
    <definedName name="_xlnm._FilterDatabase" localSheetId="0" hidden="1">Summary!$A$3:$D$61</definedName>
    <definedName name="_xlnm._FilterDatabase" localSheetId="3" hidden="1">'Swat-Group Wise Pass %'!$A$1:$L$12</definedName>
    <definedName name="_xlnm._FilterDatabase" localSheetId="2" hidden="1">'Swat-Overall Pass %'!$A$1:$D$2</definedName>
    <definedName name="_xlnm._FilterDatabase" localSheetId="4" hidden="1">'Swat-Subject Wise Pass %'!$A$1:$F$25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" i="58" l="1"/>
  <c r="H4" i="58"/>
  <c r="G4" i="58"/>
  <c r="F4" i="58"/>
  <c r="E4" i="58"/>
  <c r="D4" i="58"/>
  <c r="C4" i="58"/>
  <c r="B4" i="58"/>
  <c r="H101" i="57"/>
  <c r="E101" i="57"/>
  <c r="H100" i="57"/>
  <c r="E100" i="57"/>
  <c r="H98" i="57"/>
  <c r="E98" i="57"/>
  <c r="H96" i="57"/>
  <c r="E96" i="57"/>
  <c r="H95" i="57"/>
  <c r="E95" i="57"/>
  <c r="H94" i="57"/>
  <c r="E94" i="57"/>
  <c r="H93" i="57"/>
  <c r="E93" i="57"/>
  <c r="H92" i="57"/>
  <c r="E92" i="57"/>
  <c r="H91" i="57"/>
  <c r="E91" i="57"/>
  <c r="H90" i="57"/>
  <c r="E90" i="57"/>
  <c r="H89" i="57"/>
  <c r="E89" i="57"/>
  <c r="H88" i="57"/>
  <c r="E88" i="57"/>
  <c r="H87" i="57"/>
  <c r="E87" i="57"/>
  <c r="H85" i="57"/>
  <c r="E85" i="57"/>
  <c r="H84" i="57"/>
  <c r="E84" i="57"/>
  <c r="H83" i="57"/>
  <c r="E83" i="57"/>
  <c r="H82" i="57"/>
  <c r="E82" i="57"/>
  <c r="H80" i="57"/>
  <c r="E80" i="57"/>
  <c r="H79" i="57"/>
  <c r="E79" i="57"/>
  <c r="H78" i="57"/>
  <c r="E78" i="57"/>
  <c r="H76" i="57"/>
  <c r="E76" i="57"/>
  <c r="H75" i="57"/>
  <c r="E75" i="57"/>
  <c r="H74" i="57"/>
  <c r="E74" i="57"/>
  <c r="H73" i="57"/>
  <c r="E73" i="57"/>
  <c r="H71" i="57"/>
  <c r="E71" i="57"/>
  <c r="H70" i="57"/>
  <c r="E70" i="57"/>
  <c r="H69" i="57"/>
  <c r="E69" i="57"/>
  <c r="H68" i="57"/>
  <c r="E68" i="57"/>
  <c r="H67" i="57"/>
  <c r="E67" i="57"/>
  <c r="H65" i="57"/>
  <c r="E65" i="57"/>
  <c r="H64" i="57"/>
  <c r="E64" i="57"/>
  <c r="H63" i="57"/>
  <c r="E63" i="57"/>
  <c r="H62" i="57"/>
  <c r="E62" i="57"/>
  <c r="H61" i="57"/>
  <c r="E61" i="57"/>
  <c r="H60" i="57"/>
  <c r="E60" i="57"/>
  <c r="H59" i="57"/>
  <c r="E59" i="57"/>
  <c r="H57" i="57"/>
  <c r="E57" i="57"/>
  <c r="H56" i="57"/>
  <c r="E56" i="57"/>
  <c r="H54" i="57"/>
  <c r="E54" i="57"/>
  <c r="H53" i="57"/>
  <c r="E53" i="57"/>
  <c r="H52" i="57"/>
  <c r="E52" i="57"/>
  <c r="H51" i="57"/>
  <c r="E51" i="57"/>
  <c r="H48" i="57"/>
  <c r="E48" i="57"/>
  <c r="H47" i="57"/>
  <c r="E47" i="57"/>
  <c r="H46" i="57"/>
  <c r="E46" i="57"/>
  <c r="H45" i="57"/>
  <c r="E45" i="57"/>
  <c r="H44" i="57"/>
  <c r="E44" i="57"/>
  <c r="H43" i="57"/>
  <c r="E43" i="57"/>
  <c r="H42" i="57"/>
  <c r="E42" i="57"/>
  <c r="H41" i="57"/>
  <c r="E41" i="57"/>
  <c r="H40" i="57"/>
  <c r="E40" i="57"/>
  <c r="H39" i="57"/>
  <c r="E39" i="57"/>
  <c r="H38" i="57"/>
  <c r="E38" i="57"/>
  <c r="H37" i="57"/>
  <c r="E37" i="57"/>
  <c r="H35" i="57"/>
  <c r="E35" i="57"/>
  <c r="H32" i="57"/>
  <c r="E32" i="57"/>
  <c r="H31" i="57"/>
  <c r="E31" i="57"/>
  <c r="H29" i="57"/>
  <c r="E29" i="57"/>
  <c r="H28" i="57"/>
  <c r="E28" i="57"/>
  <c r="H26" i="57"/>
  <c r="E26" i="57"/>
  <c r="H24" i="57"/>
  <c r="E24" i="57"/>
  <c r="H23" i="57"/>
  <c r="E23" i="57"/>
  <c r="H22" i="57"/>
  <c r="E22" i="57"/>
  <c r="H20" i="57"/>
  <c r="E20" i="57"/>
  <c r="H19" i="57"/>
  <c r="E19" i="57"/>
  <c r="H17" i="57"/>
  <c r="E17" i="57"/>
  <c r="H16" i="57"/>
  <c r="E16" i="57"/>
  <c r="H15" i="57"/>
  <c r="E15" i="57"/>
  <c r="H13" i="57"/>
  <c r="E13" i="57"/>
  <c r="H12" i="57"/>
  <c r="E12" i="57"/>
  <c r="H11" i="57"/>
  <c r="E11" i="57"/>
  <c r="H10" i="57"/>
  <c r="E10" i="57"/>
  <c r="H9" i="57"/>
  <c r="E9" i="57"/>
  <c r="H8" i="57"/>
  <c r="E8" i="57"/>
  <c r="H7" i="57"/>
  <c r="E7" i="57"/>
  <c r="H6" i="57"/>
  <c r="E6" i="57"/>
  <c r="H5" i="57"/>
  <c r="E5" i="57"/>
  <c r="H3" i="57"/>
  <c r="E3" i="57"/>
  <c r="H2" i="57"/>
  <c r="E2" i="57"/>
  <c r="G37" i="56"/>
  <c r="G36" i="56"/>
  <c r="G35" i="56"/>
  <c r="G34" i="56"/>
  <c r="G33" i="56"/>
  <c r="G32" i="56"/>
  <c r="G31" i="56"/>
  <c r="G30" i="56"/>
  <c r="G29" i="56"/>
  <c r="G28" i="56"/>
  <c r="G27" i="56"/>
  <c r="G26" i="56"/>
  <c r="G25" i="56"/>
  <c r="G24" i="56"/>
  <c r="G23" i="56"/>
  <c r="G22" i="56"/>
  <c r="G21" i="56"/>
  <c r="G20" i="56"/>
  <c r="G19" i="56"/>
  <c r="G18" i="56"/>
  <c r="G17" i="56"/>
  <c r="G16" i="56"/>
  <c r="G15" i="56"/>
  <c r="G14" i="56"/>
  <c r="G13" i="56"/>
  <c r="G12" i="56"/>
  <c r="G11" i="56"/>
  <c r="G10" i="56"/>
  <c r="G9" i="56"/>
  <c r="G8" i="56"/>
  <c r="G7" i="56"/>
  <c r="G6" i="56"/>
  <c r="G5" i="56"/>
  <c r="G4" i="56"/>
  <c r="G3" i="56"/>
  <c r="G2" i="56"/>
  <c r="E13" i="55"/>
  <c r="E12" i="55"/>
  <c r="E11" i="55"/>
  <c r="E10" i="55"/>
  <c r="E9" i="55"/>
  <c r="E8" i="55"/>
  <c r="E7" i="55"/>
  <c r="E6" i="55"/>
  <c r="E5" i="55"/>
  <c r="E4" i="55"/>
  <c r="E3" i="55"/>
  <c r="E2" i="55"/>
  <c r="E5" i="54"/>
  <c r="E4" i="54"/>
  <c r="E3" i="54"/>
  <c r="E2" i="54"/>
  <c r="F9" i="53"/>
  <c r="F8" i="53"/>
  <c r="F7" i="53"/>
  <c r="F6" i="53"/>
  <c r="F5" i="53"/>
  <c r="F4" i="53"/>
  <c r="F3" i="53"/>
  <c r="F2" i="53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10" i="52"/>
  <c r="G9" i="52"/>
  <c r="G8" i="52"/>
  <c r="G7" i="52"/>
  <c r="G6" i="52"/>
  <c r="G5" i="52"/>
  <c r="G4" i="52"/>
  <c r="G3" i="52"/>
  <c r="G2" i="52"/>
  <c r="D4" i="51"/>
  <c r="C4" i="51"/>
  <c r="B4" i="51"/>
  <c r="D3" i="51"/>
  <c r="D2" i="51"/>
  <c r="E4" i="47"/>
  <c r="D4" i="47"/>
  <c r="C4" i="47"/>
  <c r="B4" i="47"/>
  <c r="G127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G108" i="19"/>
  <c r="G107" i="19"/>
  <c r="G105" i="19"/>
  <c r="G104" i="19"/>
  <c r="G102" i="19"/>
  <c r="G101" i="19"/>
  <c r="G100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3" i="19"/>
  <c r="G82" i="19"/>
  <c r="G81" i="19"/>
  <c r="G79" i="19"/>
  <c r="G77" i="19"/>
  <c r="G76" i="19"/>
  <c r="G75" i="19"/>
  <c r="G73" i="19"/>
  <c r="G72" i="19"/>
  <c r="G71" i="19"/>
  <c r="G69" i="19"/>
  <c r="G68" i="19"/>
  <c r="G66" i="19"/>
  <c r="G65" i="19"/>
  <c r="G64" i="19"/>
  <c r="G63" i="19"/>
  <c r="G61" i="19"/>
  <c r="G60" i="19"/>
  <c r="G59" i="19"/>
  <c r="G58" i="19"/>
  <c r="G56" i="19"/>
  <c r="G55" i="19"/>
  <c r="G54" i="19"/>
  <c r="G53" i="19"/>
  <c r="G52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3" i="19"/>
  <c r="G30" i="19"/>
  <c r="G29" i="19"/>
  <c r="G28" i="19"/>
  <c r="G27" i="19"/>
  <c r="G25" i="19"/>
  <c r="G24" i="19"/>
  <c r="G23" i="19"/>
  <c r="G22" i="19"/>
  <c r="G21" i="19"/>
  <c r="G19" i="19"/>
  <c r="G18" i="19"/>
  <c r="G17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117" i="18"/>
  <c r="G116" i="18"/>
  <c r="G115" i="18"/>
  <c r="G114" i="18"/>
  <c r="G113" i="18"/>
  <c r="G112" i="18"/>
  <c r="G111" i="18"/>
  <c r="G110" i="18"/>
  <c r="G109" i="18"/>
  <c r="G107" i="18"/>
  <c r="G106" i="18"/>
  <c r="G105" i="18"/>
  <c r="G104" i="18"/>
  <c r="G103" i="18"/>
  <c r="G101" i="18"/>
  <c r="G99" i="18"/>
  <c r="G98" i="18"/>
  <c r="G96" i="18"/>
  <c r="G95" i="18"/>
  <c r="G94" i="18"/>
  <c r="G92" i="18"/>
  <c r="G91" i="18"/>
  <c r="G90" i="18"/>
  <c r="G89" i="18"/>
  <c r="G88" i="18"/>
  <c r="G87" i="18"/>
  <c r="G86" i="18"/>
  <c r="G85" i="18"/>
  <c r="G84" i="18"/>
  <c r="G83" i="18"/>
  <c r="G82" i="18"/>
  <c r="G81" i="18"/>
  <c r="G78" i="18"/>
  <c r="G77" i="18"/>
  <c r="G75" i="18"/>
  <c r="G73" i="18"/>
  <c r="G72" i="18"/>
  <c r="G71" i="18"/>
  <c r="G70" i="18"/>
  <c r="G69" i="18"/>
  <c r="G67" i="18"/>
  <c r="G65" i="18"/>
  <c r="G64" i="18"/>
  <c r="G62" i="18"/>
  <c r="G61" i="18"/>
  <c r="G60" i="18"/>
  <c r="G59" i="18"/>
  <c r="G57" i="18"/>
  <c r="G56" i="18"/>
  <c r="G55" i="18"/>
  <c r="G54" i="18"/>
  <c r="G53" i="18"/>
  <c r="G51" i="18"/>
  <c r="G50" i="18"/>
  <c r="G49" i="18"/>
  <c r="G48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29" i="18"/>
  <c r="G26" i="18"/>
  <c r="G25" i="18"/>
  <c r="G24" i="18"/>
  <c r="G23" i="18"/>
  <c r="G21" i="18"/>
  <c r="G20" i="18"/>
  <c r="G19" i="18"/>
  <c r="G18" i="18"/>
  <c r="G17" i="18"/>
  <c r="G15" i="18"/>
  <c r="G14" i="18"/>
  <c r="G13" i="18"/>
  <c r="G11" i="18"/>
  <c r="G10" i="18"/>
  <c r="G9" i="18"/>
  <c r="G8" i="18"/>
  <c r="G7" i="18"/>
  <c r="G6" i="18"/>
  <c r="G5" i="18"/>
  <c r="G4" i="18"/>
  <c r="G3" i="18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D4" i="14"/>
  <c r="C4" i="14"/>
  <c r="B4" i="14"/>
  <c r="D3" i="14"/>
  <c r="D2" i="14"/>
  <c r="L26" i="13"/>
  <c r="K26" i="13"/>
  <c r="J26" i="13"/>
  <c r="I26" i="13"/>
  <c r="H26" i="13"/>
  <c r="G26" i="13"/>
  <c r="F26" i="13"/>
  <c r="E26" i="13"/>
  <c r="D26" i="13"/>
  <c r="L23" i="13"/>
  <c r="K23" i="13"/>
  <c r="J23" i="13"/>
  <c r="I23" i="13"/>
  <c r="H23" i="13"/>
  <c r="G23" i="13"/>
  <c r="F23" i="13"/>
  <c r="E23" i="13"/>
  <c r="D23" i="13"/>
  <c r="L12" i="13"/>
  <c r="K12" i="13"/>
  <c r="J12" i="13"/>
  <c r="I12" i="13"/>
  <c r="H12" i="13"/>
  <c r="G12" i="13"/>
  <c r="F12" i="13"/>
  <c r="E12" i="13"/>
  <c r="D12" i="13"/>
  <c r="K13" i="11"/>
  <c r="J13" i="11"/>
  <c r="I13" i="11"/>
  <c r="H13" i="11"/>
  <c r="G13" i="11"/>
  <c r="F13" i="11"/>
  <c r="E13" i="11"/>
  <c r="D13" i="11"/>
  <c r="C13" i="11"/>
  <c r="K10" i="11"/>
  <c r="J10" i="11"/>
  <c r="I10" i="11"/>
  <c r="H10" i="11"/>
  <c r="G10" i="11"/>
  <c r="F10" i="11"/>
  <c r="E10" i="11"/>
  <c r="D10" i="11"/>
  <c r="C10" i="11"/>
  <c r="K7" i="11"/>
  <c r="J7" i="11"/>
  <c r="I7" i="11"/>
  <c r="H7" i="11"/>
  <c r="G7" i="11"/>
  <c r="F7" i="11"/>
  <c r="E7" i="11"/>
  <c r="D7" i="11"/>
  <c r="C7" i="11"/>
  <c r="K4" i="11"/>
  <c r="J4" i="11"/>
  <c r="I4" i="11"/>
  <c r="H4" i="11"/>
  <c r="G4" i="11"/>
  <c r="F4" i="11"/>
  <c r="E4" i="11"/>
  <c r="D4" i="11"/>
  <c r="C4" i="11"/>
  <c r="F16" i="7"/>
  <c r="E16" i="7"/>
  <c r="D16" i="7"/>
  <c r="C16" i="7"/>
  <c r="F13" i="7"/>
  <c r="E13" i="7"/>
  <c r="D13" i="7"/>
  <c r="C13" i="7"/>
  <c r="F10" i="7"/>
  <c r="E10" i="7"/>
  <c r="D10" i="7"/>
  <c r="C10" i="7"/>
  <c r="F7" i="7"/>
  <c r="E7" i="7"/>
  <c r="D7" i="7"/>
  <c r="C7" i="7"/>
  <c r="F4" i="7"/>
  <c r="E4" i="7"/>
  <c r="D4" i="7"/>
  <c r="C4" i="7"/>
  <c r="E43" i="2"/>
  <c r="D43" i="2"/>
  <c r="C43" i="2"/>
  <c r="E40" i="2"/>
  <c r="D40" i="2"/>
  <c r="C40" i="2"/>
  <c r="E37" i="2"/>
  <c r="D37" i="2"/>
  <c r="C37" i="2"/>
  <c r="E34" i="2"/>
  <c r="D34" i="2"/>
  <c r="C34" i="2"/>
  <c r="E31" i="2"/>
  <c r="D31" i="2"/>
  <c r="C31" i="2"/>
  <c r="E28" i="2"/>
  <c r="D28" i="2"/>
  <c r="C28" i="2"/>
  <c r="E25" i="2"/>
  <c r="D25" i="2"/>
  <c r="C25" i="2"/>
  <c r="E22" i="2"/>
  <c r="D22" i="2"/>
  <c r="C22" i="2"/>
  <c r="E19" i="2"/>
  <c r="D19" i="2"/>
  <c r="C19" i="2"/>
  <c r="E16" i="2"/>
  <c r="D16" i="2"/>
  <c r="C16" i="2"/>
  <c r="E13" i="2"/>
  <c r="D13" i="2"/>
  <c r="C13" i="2"/>
  <c r="E10" i="2"/>
  <c r="D10" i="2"/>
  <c r="C10" i="2"/>
  <c r="E7" i="2"/>
  <c r="D7" i="2"/>
  <c r="C7" i="2"/>
  <c r="E4" i="2"/>
  <c r="D4" i="2"/>
  <c r="C4" i="2"/>
</calcChain>
</file>

<file path=xl/sharedStrings.xml><?xml version="1.0" encoding="utf-8"?>
<sst xmlns="http://schemas.openxmlformats.org/spreadsheetml/2006/main" count="4950" uniqueCount="731">
  <si>
    <t>BISE 9th Class Result Gazette — Master Summary 2025-2026</t>
  </si>
  <si>
    <t>Board</t>
  </si>
  <si>
    <t>Source File</t>
  </si>
  <si>
    <t>Sheet (in source file)</t>
  </si>
  <si>
    <t>Sheet (in this workbook)</t>
  </si>
  <si>
    <t>Swat</t>
  </si>
  <si>
    <t>BISE Swat 9th Class Result Gazette Summary 2026.xlsx</t>
  </si>
  <si>
    <t>Overall Pass %</t>
  </si>
  <si>
    <t>Swat-Overall Pass %</t>
  </si>
  <si>
    <t>Group Wise Pass %</t>
  </si>
  <si>
    <t>Swat-Group Wise Pass %</t>
  </si>
  <si>
    <t>Subject Wise Pass %</t>
  </si>
  <si>
    <t>Swat-Subject Wise Pass %</t>
  </si>
  <si>
    <t>Abbottabad</t>
  </si>
  <si>
    <t>BISE_Abbottabad_9th_Summary_2025-2026.xlsx</t>
  </si>
  <si>
    <t>Abbottabad-Group Wise Pass %</t>
  </si>
  <si>
    <t>Abbottabad-Overall Pass %</t>
  </si>
  <si>
    <t>Abbottabad-Subject Wise Pass %</t>
  </si>
  <si>
    <t>Bahawalpur</t>
  </si>
  <si>
    <t>BISE_Bahawalpur_9th_Summary_2025-2026.xlsx</t>
  </si>
  <si>
    <t>General Pass Percentage</t>
  </si>
  <si>
    <t>Bahawalpur-General Pass Percent</t>
  </si>
  <si>
    <t>Result at a Glance</t>
  </si>
  <si>
    <t>Bahawalpur-Result at a Glance</t>
  </si>
  <si>
    <t>District Wise Pass %</t>
  </si>
  <si>
    <t>Bahawalpur-District Wise Pass %</t>
  </si>
  <si>
    <t>Bahawalpur-Subject Wise Pass %</t>
  </si>
  <si>
    <t>Bannu</t>
  </si>
  <si>
    <t>BISE_Bannu_9th_Summary_2025-2026.xlsx</t>
  </si>
  <si>
    <t>Bannu-Result at a Glance</t>
  </si>
  <si>
    <t>FSD</t>
  </si>
  <si>
    <t>BISE_FSD_9th_Class_Result_Gazette_2025_2026.xlsx</t>
  </si>
  <si>
    <t>FSD-Overall Pass %</t>
  </si>
  <si>
    <t>District Wise Regular</t>
  </si>
  <si>
    <t>FSD-District Wise Regular</t>
  </si>
  <si>
    <t>District Wise Private</t>
  </si>
  <si>
    <t>FSD-District Wise Private</t>
  </si>
  <si>
    <t>Overall Statistical Data</t>
  </si>
  <si>
    <t>FSD-Overall Statistical Data</t>
  </si>
  <si>
    <t>Subject Wise Pass % (Regular)</t>
  </si>
  <si>
    <t>FSD-Subject Wise Pass % (Regula</t>
  </si>
  <si>
    <t>Subject Wise Pass % (Private)</t>
  </si>
  <si>
    <t>FSD-Subject Wise Pass % (Privat</t>
  </si>
  <si>
    <t>Gujranwala</t>
  </si>
  <si>
    <t>BISE_Gujranwala_9th_Class_Statistics_Merged_2025-2026.xlsx</t>
  </si>
  <si>
    <t>Gujranwala-Overall Pass %</t>
  </si>
  <si>
    <t>Gujranwala-Group Wise Pass %</t>
  </si>
  <si>
    <t>Tech Group Wise Pass %</t>
  </si>
  <si>
    <t>Gujranwala-Tech Group Wise Pass</t>
  </si>
  <si>
    <t>Gujranwala-Subject Wise Pass %</t>
  </si>
  <si>
    <t>Kohat</t>
  </si>
  <si>
    <t>BISE_Kohat_9th_Class_Statistics_Merged_2025-2026.xlsx</t>
  </si>
  <si>
    <t>Science Group</t>
  </si>
  <si>
    <t>Kohat-Science Group</t>
  </si>
  <si>
    <t>General Group</t>
  </si>
  <si>
    <t>Kohat-General Group</t>
  </si>
  <si>
    <t>Overall Result (9th+10th)</t>
  </si>
  <si>
    <t>Kohat-Overall Result (9th+10th)</t>
  </si>
  <si>
    <t>Kohat-Subject Wise Pass %</t>
  </si>
  <si>
    <t>Lahore</t>
  </si>
  <si>
    <t>BISE_Lahore_9th_Class_Statistics_Merged_2025-2026.xlsx</t>
  </si>
  <si>
    <t>Lahore-Science Group</t>
  </si>
  <si>
    <t>Humanities Group</t>
  </si>
  <si>
    <t>Lahore-Humanities Group</t>
  </si>
  <si>
    <t>Tech Group</t>
  </si>
  <si>
    <t>Lahore-Tech Group</t>
  </si>
  <si>
    <t>Lahore-Overall Pass %</t>
  </si>
  <si>
    <t>Statistical Data</t>
  </si>
  <si>
    <t>Lahore-Statistical Data</t>
  </si>
  <si>
    <t>Lahore-Subject Wise Pass %</t>
  </si>
  <si>
    <t>Mardan</t>
  </si>
  <si>
    <t>BISE_Mardan_9th_Class_Statistics_Merged_2025-2026.xlsx</t>
  </si>
  <si>
    <t>Mardan-Science Group</t>
  </si>
  <si>
    <t>Mardan-Humanities Group</t>
  </si>
  <si>
    <t>Overall Result</t>
  </si>
  <si>
    <t>Mardan-Overall Result</t>
  </si>
  <si>
    <t>Peshawar</t>
  </si>
  <si>
    <t>BISE_Peshawar_9th_Class_Statistics_Merged_2025-2026.xlsx</t>
  </si>
  <si>
    <t>Group Wise Distribution</t>
  </si>
  <si>
    <t>Peshawar-Group Wise Distributio</t>
  </si>
  <si>
    <t>Gender Wise Result</t>
  </si>
  <si>
    <t>Peshawar-Gender Wise Result</t>
  </si>
  <si>
    <t>Peshawar-Subject Wise Pass %</t>
  </si>
  <si>
    <t>Rawalpindi</t>
  </si>
  <si>
    <t>BISE_Rawalpindi_9th_Class_Statistics_Merged_2025-2026.xlsx</t>
  </si>
  <si>
    <t>Rawalpindi-Group Wise Pass %</t>
  </si>
  <si>
    <t>Matric-Tech Group Pass %</t>
  </si>
  <si>
    <t>Rawalpindi-Matric-Tech Group Pa</t>
  </si>
  <si>
    <t>Result Statistical Data</t>
  </si>
  <si>
    <t>Rawalpindi-Result Statistical D</t>
  </si>
  <si>
    <t>District Wise Performance</t>
  </si>
  <si>
    <t>Rawalpindi-District Wise Perfor</t>
  </si>
  <si>
    <t>Rawalpindi-Subject Wise Pass %</t>
  </si>
  <si>
    <t>Sahiwal</t>
  </si>
  <si>
    <t>BISE_Sahiwal_9th_Class_Statistics_Merged_2025-2026.xlsx</t>
  </si>
  <si>
    <t>Overall Summary</t>
  </si>
  <si>
    <t>Sahiwal-Overall Summary</t>
  </si>
  <si>
    <t>Sahiwal-Group Wise Pass %</t>
  </si>
  <si>
    <t>Sargodha</t>
  </si>
  <si>
    <t>BISE_Sargodha_9th_Result_Gazette_Summary_2025-2026.xlsx</t>
  </si>
  <si>
    <t>Sargodha-Overall Pass %</t>
  </si>
  <si>
    <t>Sargodha-Group Wise Pass %</t>
  </si>
  <si>
    <t>Sargodha-Statistical Data</t>
  </si>
  <si>
    <t>Sargodha-Subject Wise Pass %</t>
  </si>
  <si>
    <t>DGK</t>
  </si>
  <si>
    <t>DGK_9th_Class_Result_Gazette_2025_2026.xlsx</t>
  </si>
  <si>
    <t>DGK-Overall Pass %</t>
  </si>
  <si>
    <t>Group Wise Regular Private</t>
  </si>
  <si>
    <t>DGK-Group Wise Regular Private</t>
  </si>
  <si>
    <t>Group Wise Male Female</t>
  </si>
  <si>
    <t>DGK-Group Wise Male Female</t>
  </si>
  <si>
    <t>Gender Wise Pass %</t>
  </si>
  <si>
    <t>DGK-Gender Wise Pass %</t>
  </si>
  <si>
    <t>DGK-District Wise Pass %</t>
  </si>
  <si>
    <t>DGK-Statistical Data</t>
  </si>
  <si>
    <t>DGK-Subject Wise Pass %</t>
  </si>
  <si>
    <t>FBISE</t>
  </si>
  <si>
    <t>FBISE 9th Class Result Gazette Summary 2025-2026.xlsx</t>
  </si>
  <si>
    <t>FBISE-Overall Pass %</t>
  </si>
  <si>
    <t>FBISE-Group Wise Pass %</t>
  </si>
  <si>
    <t>FBISE-Subject Wise Pass %</t>
  </si>
  <si>
    <t>Year</t>
  </si>
  <si>
    <t>Appeared</t>
  </si>
  <si>
    <t>Passed</t>
  </si>
  <si>
    <t>Pass %age</t>
  </si>
  <si>
    <t>Change (2026-2025)</t>
  </si>
  <si>
    <t>N/A</t>
  </si>
  <si>
    <t>N/A (2025 data unavailable)</t>
  </si>
  <si>
    <t>Candidates Appeared</t>
  </si>
  <si>
    <t>Candidates Passed</t>
  </si>
  <si>
    <t>Group</t>
  </si>
  <si>
    <t>Category</t>
  </si>
  <si>
    <t>Pass %</t>
  </si>
  <si>
    <t>A-1</t>
  </si>
  <si>
    <t>A</t>
  </si>
  <si>
    <t>B</t>
  </si>
  <si>
    <t>C</t>
  </si>
  <si>
    <t>D</t>
  </si>
  <si>
    <t>E</t>
  </si>
  <si>
    <t>Regular (Boys)</t>
  </si>
  <si>
    <t>Private (Boys)</t>
  </si>
  <si>
    <t>Regular (Girls)</t>
  </si>
  <si>
    <t>Private (Girls)</t>
  </si>
  <si>
    <t>Sub Total</t>
  </si>
  <si>
    <t>Grand Total</t>
  </si>
  <si>
    <t>Subject</t>
  </si>
  <si>
    <t>Abbreviation</t>
  </si>
  <si>
    <t>Arabic</t>
  </si>
  <si>
    <t>AR-I</t>
  </si>
  <si>
    <t>Art &amp; Model Drawing</t>
  </si>
  <si>
    <t>AD-I</t>
  </si>
  <si>
    <t>Biology</t>
  </si>
  <si>
    <t>BIO-1</t>
  </si>
  <si>
    <t>Chemistry</t>
  </si>
  <si>
    <t>CH-I</t>
  </si>
  <si>
    <t>Civics</t>
  </si>
  <si>
    <t>CV-I</t>
  </si>
  <si>
    <t>Computer Science</t>
  </si>
  <si>
    <t>CS-I</t>
  </si>
  <si>
    <t>E.H.E</t>
  </si>
  <si>
    <t>EHE-1</t>
  </si>
  <si>
    <t>Economics</t>
  </si>
  <si>
    <t>EC-I</t>
  </si>
  <si>
    <t>English</t>
  </si>
  <si>
    <t>E-I</t>
  </si>
  <si>
    <t>Ethics</t>
  </si>
  <si>
    <t>ETH-I</t>
  </si>
  <si>
    <t>General Maths</t>
  </si>
  <si>
    <t>GM-I</t>
  </si>
  <si>
    <t>General Science</t>
  </si>
  <si>
    <t>GS-I</t>
  </si>
  <si>
    <t>Health &amp; Physical Education</t>
  </si>
  <si>
    <t>HP-I</t>
  </si>
  <si>
    <t>Islamic History</t>
  </si>
  <si>
    <t>IH-I</t>
  </si>
  <si>
    <t>Islamic Studies</t>
  </si>
  <si>
    <t>IS-I</t>
  </si>
  <si>
    <t>Islamiyat</t>
  </si>
  <si>
    <t>IC-I</t>
  </si>
  <si>
    <t>Maths</t>
  </si>
  <si>
    <t>M-I</t>
  </si>
  <si>
    <t>Mutaliae-Quran-e-Hakeem</t>
  </si>
  <si>
    <t>MQ-I</t>
  </si>
  <si>
    <t>Pakistan Studies</t>
  </si>
  <si>
    <t>PS-I</t>
  </si>
  <si>
    <t>Pakistani Culture</t>
  </si>
  <si>
    <t>PC-I</t>
  </si>
  <si>
    <t>Pashto</t>
  </si>
  <si>
    <t>PA-I</t>
  </si>
  <si>
    <t>Physics</t>
  </si>
  <si>
    <t>PH-I</t>
  </si>
  <si>
    <t>Urdu</t>
  </si>
  <si>
    <t>U-I</t>
  </si>
  <si>
    <t>Urdu Literature</t>
  </si>
  <si>
    <t>UL-I</t>
  </si>
  <si>
    <t>Candidate Type</t>
  </si>
  <si>
    <t>Absent</t>
  </si>
  <si>
    <t>Regular Female</t>
  </si>
  <si>
    <t>Science</t>
  </si>
  <si>
    <t>Arts</t>
  </si>
  <si>
    <t>Regular Male</t>
  </si>
  <si>
    <t>Private Female</t>
  </si>
  <si>
    <t>Private Male</t>
  </si>
  <si>
    <t>GRAND TOTAL</t>
  </si>
  <si>
    <t>Total Students</t>
  </si>
  <si>
    <t>ARABIC</t>
  </si>
  <si>
    <t>ART &amp; MODEL DRAWING</t>
  </si>
  <si>
    <t>BIOLOGY</t>
  </si>
  <si>
    <t>CHEMISTRY</t>
  </si>
  <si>
    <t>CIVICS</t>
  </si>
  <si>
    <t>COMPUTER SCIENCE</t>
  </si>
  <si>
    <t>ECONOMICS</t>
  </si>
  <si>
    <t>ENGLISH</t>
  </si>
  <si>
    <t>ETHICS</t>
  </si>
  <si>
    <t>FOOD AND NUTRITION</t>
  </si>
  <si>
    <t>GENERAL MATHEMATICS</t>
  </si>
  <si>
    <t>GENERAL SCIENCE</t>
  </si>
  <si>
    <t>GEOGRAPHY OF PAKISTAN</t>
  </si>
  <si>
    <t>HEALTH &amp; PHYSICAL EDUCATION</t>
  </si>
  <si>
    <t>HOME ECONOMICS</t>
  </si>
  <si>
    <t>ISLAMIC HISTORY</t>
  </si>
  <si>
    <t>ISLAMIYAT COMP</t>
  </si>
  <si>
    <t>ISLAMIYAT ELECTIVE</t>
  </si>
  <si>
    <t>MATHEMATICS</t>
  </si>
  <si>
    <t>MUTALIAE-QURAN-E-HAKEEM</t>
  </si>
  <si>
    <t>PAKISTAN STUDIES</t>
  </si>
  <si>
    <t>PASHTO</t>
  </si>
  <si>
    <t>PHYSICS</t>
  </si>
  <si>
    <t>URDU</t>
  </si>
  <si>
    <t>Gender</t>
  </si>
  <si>
    <t>A+</t>
  </si>
  <si>
    <t>Regular (Govt.)</t>
  </si>
  <si>
    <t>Male</t>
  </si>
  <si>
    <t>Female</t>
  </si>
  <si>
    <t>Total</t>
  </si>
  <si>
    <t>Humanities</t>
  </si>
  <si>
    <t>Regular (Affiliated)</t>
  </si>
  <si>
    <t>Total (Regular)</t>
  </si>
  <si>
    <t>Private</t>
  </si>
  <si>
    <t>Metric</t>
  </si>
  <si>
    <t>Value</t>
  </si>
  <si>
    <t>Total candidates applied for admission</t>
  </si>
  <si>
    <t>-</t>
  </si>
  <si>
    <t>Total absent candidates &amp; cancelled roll no.</t>
  </si>
  <si>
    <t>Regular</t>
  </si>
  <si>
    <t>Successful candidates</t>
  </si>
  <si>
    <t>Overall</t>
  </si>
  <si>
    <t>District</t>
  </si>
  <si>
    <t>Male Appeared</t>
  </si>
  <si>
    <t>Male Passed</t>
  </si>
  <si>
    <t>Male Pass %</t>
  </si>
  <si>
    <t>Female Appeared</t>
  </si>
  <si>
    <t>Female Passed</t>
  </si>
  <si>
    <t>Female Pass %</t>
  </si>
  <si>
    <t>Total Appeared</t>
  </si>
  <si>
    <t>Total Passed</t>
  </si>
  <si>
    <t>Total Pass %</t>
  </si>
  <si>
    <t>Bahawalnagar</t>
  </si>
  <si>
    <t>Rahimyar Khan</t>
  </si>
  <si>
    <t>ADVANCED ISLAMIC STUDIES (ELECTIVE)-I</t>
  </si>
  <si>
    <t>AGRICULTURE SCIENCES</t>
  </si>
  <si>
    <t>ARABIC-I</t>
  </si>
  <si>
    <t>ART AND MODEL DRAWING-I</t>
  </si>
  <si>
    <t>BIOLOGY (TECH)</t>
  </si>
  <si>
    <t>BIOLOGY-I</t>
  </si>
  <si>
    <t>BIOLOGY-I (NEW COURSE)</t>
  </si>
  <si>
    <t>CHEMISTRY (TECH)</t>
  </si>
  <si>
    <t>CHEMISTRY-I</t>
  </si>
  <si>
    <t>CHEMISTRY-I (NEW COURSE)</t>
  </si>
  <si>
    <t>CIVICS-I</t>
  </si>
  <si>
    <t>CLOTHING AND TEXTILE-I</t>
  </si>
  <si>
    <t>COMMUNICATION SKILL &amp; PERSONAL GROOMING</t>
  </si>
  <si>
    <t>COMPUTER SCIENCE-I</t>
  </si>
  <si>
    <t>COMPUTER SCIENCES &amp; ENTREPRENEURSHIP (TECH)</t>
  </si>
  <si>
    <t>COMPUTER SCIENCES &amp; ENTREPRENEURSHIP-I</t>
  </si>
  <si>
    <t>EDUCATION-I</t>
  </si>
  <si>
    <t>ELECTRICAL WIRING-I</t>
  </si>
  <si>
    <t>ELEMENTS OF HOME ECONOMICS-I</t>
  </si>
  <si>
    <t>ENGLISH-I</t>
  </si>
  <si>
    <t>ENGLISH-I (NEW COURSE)</t>
  </si>
  <si>
    <t>ENVIRONMENTAL STUDIES-I</t>
  </si>
  <si>
    <t>ETHICS-I</t>
  </si>
  <si>
    <t>ETHICS-I (FOR NON-MUSLIMS)</t>
  </si>
  <si>
    <t>FASHION DESIGNING</t>
  </si>
  <si>
    <t>FOOD AND NUTRITION-I</t>
  </si>
  <si>
    <t>GENERAL MATHEMATICS-I</t>
  </si>
  <si>
    <t>GENERAL SCIENCE (TECH)</t>
  </si>
  <si>
    <t>GENERAL SCIENCE-I</t>
  </si>
  <si>
    <t>HEALTH AND PHYSICAL EDUCATION-I</t>
  </si>
  <si>
    <t>HEALTH SCIENCES</t>
  </si>
  <si>
    <t>HISTORY OF ISLAM-I</t>
  </si>
  <si>
    <t>INFORMATION &amp; COMMUNICATION TECHNOLOGY</t>
  </si>
  <si>
    <t>ISLAMIYAT (COMPULSORY) (NEW COURSE)</t>
  </si>
  <si>
    <t>MATHEMATICS-I</t>
  </si>
  <si>
    <t>MATHEMATICS-I (NEW COURSE)</t>
  </si>
  <si>
    <t>PHYSICS (TECH)</t>
  </si>
  <si>
    <t>PHYSICS-I</t>
  </si>
  <si>
    <t>PHYSICS-I (NEW COURSE)</t>
  </si>
  <si>
    <t>PUNJABI-I</t>
  </si>
  <si>
    <t>RELIGIOUS EDUCATION-I</t>
  </si>
  <si>
    <t>TARJUMA-TUL-QURAN-UL-MAJEED-I</t>
  </si>
  <si>
    <t>URDU-I</t>
  </si>
  <si>
    <t>URDU-I (NEW COURSE)</t>
  </si>
  <si>
    <t>WOODWORK (FURNITURE MAKING)-I</t>
  </si>
  <si>
    <t>A1</t>
  </si>
  <si>
    <t>G. Total</t>
  </si>
  <si>
    <t>Pass</t>
  </si>
  <si>
    <t>Less than 33%</t>
  </si>
  <si>
    <t>Chiniot</t>
  </si>
  <si>
    <t>General</t>
  </si>
  <si>
    <t>Deaf &amp; Defective</t>
  </si>
  <si>
    <t>District Total</t>
  </si>
  <si>
    <t>Faisalabad</t>
  </si>
  <si>
    <t>Jhang</t>
  </si>
  <si>
    <t>Toba Tek Singh</t>
  </si>
  <si>
    <t>Regular Candidates Total</t>
  </si>
  <si>
    <t>Fashion Designing</t>
  </si>
  <si>
    <t>Health Sciences</t>
  </si>
  <si>
    <t>Agriculture Sciences</t>
  </si>
  <si>
    <t>Dars-e-Nazami</t>
  </si>
  <si>
    <t>Private Candidates Total</t>
  </si>
  <si>
    <t>Overall Private Candidates</t>
  </si>
  <si>
    <t>Overall Regular Candidates</t>
  </si>
  <si>
    <t>Enroll</t>
  </si>
  <si>
    <t>Arithmatic</t>
  </si>
  <si>
    <t>Biology (Tech)</t>
  </si>
  <si>
    <t>Chemistry (Tech)</t>
  </si>
  <si>
    <t>Clothing &amp; Textile</t>
  </si>
  <si>
    <t>Communication Skills &amp; Personal Grooming</t>
  </si>
  <si>
    <t>Computer Hardware</t>
  </si>
  <si>
    <t>Computer Science &amp; Entrepreneurship</t>
  </si>
  <si>
    <t>Computer Science &amp; Entrepreneurship (Tech)</t>
  </si>
  <si>
    <t>Computer Science (Additional)</t>
  </si>
  <si>
    <t>Drawing</t>
  </si>
  <si>
    <t>Dress Making &amp; Fashion Designing</t>
  </si>
  <si>
    <t>Education</t>
  </si>
  <si>
    <t>Electric Wiring</t>
  </si>
  <si>
    <t>Elements of Home Economics</t>
  </si>
  <si>
    <t>Embroidery</t>
  </si>
  <si>
    <t>English (Additional)</t>
  </si>
  <si>
    <t>English Literature</t>
  </si>
  <si>
    <t>Environmental Studies</t>
  </si>
  <si>
    <t>Food &amp; Nutrition</t>
  </si>
  <si>
    <t>General Mathematics</t>
  </si>
  <si>
    <t>General Science (Tech)</t>
  </si>
  <si>
    <t>Geography</t>
  </si>
  <si>
    <t>Geography of Pakistan</t>
  </si>
  <si>
    <t>Health &amp; Physical Education (Additional)</t>
  </si>
  <si>
    <t>History of Pakistan</t>
  </si>
  <si>
    <t>Information &amp; Communication Technology (ICT)</t>
  </si>
  <si>
    <t>Islamiyat (Additional)</t>
  </si>
  <si>
    <t>Mathematics</t>
  </si>
  <si>
    <t>Persian</t>
  </si>
  <si>
    <t>Physical Education</t>
  </si>
  <si>
    <t>Physics (Tech)</t>
  </si>
  <si>
    <t>Poultry Farming</t>
  </si>
  <si>
    <t>Punjabi</t>
  </si>
  <si>
    <t>Religious Education</t>
  </si>
  <si>
    <t>Tailoring</t>
  </si>
  <si>
    <t>Translation of the Holy Quran</t>
  </si>
  <si>
    <t>Translation of the Holy Quran (Additional)</t>
  </si>
  <si>
    <t>Urdu (Additional)</t>
  </si>
  <si>
    <t>Al-Hadis Al-Fiqah</t>
  </si>
  <si>
    <t>Al-Quran</t>
  </si>
  <si>
    <t>Geometrical &amp; Technical Drawing</t>
  </si>
  <si>
    <t>Islamiyat /Seerat-ul-Rasool</t>
  </si>
  <si>
    <t>Urdu (Dar-se-Nazami)</t>
  </si>
  <si>
    <t>Urdu Litrature</t>
  </si>
  <si>
    <t>BISE Gujranwala - Overall Comparative Statement of Pass Percentage (2021-2026)</t>
  </si>
  <si>
    <t>Source: merged from '5-Year Comparative' table printed in both the 2025 and 2026 gazettes</t>
  </si>
  <si>
    <t>Total Candidates Applied</t>
  </si>
  <si>
    <t>Pass Percentage</t>
  </si>
  <si>
    <t>BISE Gujranwala - Group Wise (Science / General / Deaf &amp; Dumb) Regular &amp; Private Candidates Details (2025 vs 2026)</t>
  </si>
  <si>
    <t>All</t>
  </si>
  <si>
    <t>Deaf &amp; Dumb</t>
  </si>
  <si>
    <t>BISE Gujranwala - Matric-Tech Group Wise Pass Percentage</t>
  </si>
  <si>
    <t>Note: Tech-group breakdown (Computer Science, Health Sciences, Agriculture Sciences, Fashion Designing) was reported only in the 2026 gazette; the 2025 gazette did not publish this table.</t>
  </si>
  <si>
    <t>Computer Science Tech</t>
  </si>
  <si>
    <t>Health Sciences Tech</t>
  </si>
  <si>
    <t>Agriculture Sciences Tech</t>
  </si>
  <si>
    <t>Fashion Designing Tech</t>
  </si>
  <si>
    <t>BISE Gujranwala - Subject Wise Pass Percentage</t>
  </si>
  <si>
    <t>Note: A Subject-Wise Pass Percentage table was published only in the 2025 gazette; the 2026 gazette did not include this table.</t>
  </si>
  <si>
    <t>Subject Name</t>
  </si>
  <si>
    <t>BUSINESS STUDIES</t>
  </si>
  <si>
    <t>CLOTHING &amp; TEXTILES</t>
  </si>
  <si>
    <t>COMMERCIAL GEOGRAPHY</t>
  </si>
  <si>
    <t>COMPUTER HARDWARE</t>
  </si>
  <si>
    <t>COMPUTER SCIENCES</t>
  </si>
  <si>
    <t>DRESS MAKING &amp; FASHION DESIGNING</t>
  </si>
  <si>
    <t>EDUCATION</t>
  </si>
  <si>
    <t>ELECTRICAL WIRING</t>
  </si>
  <si>
    <t>ELEMENTS OF HOME ECONOMICS</t>
  </si>
  <si>
    <t>FISH FARMING</t>
  </si>
  <si>
    <t>GENERAL MATH</t>
  </si>
  <si>
    <t>GEOGRAPHY</t>
  </si>
  <si>
    <t>GEOMETRICAL &amp; TECHNICAL DRAWING</t>
  </si>
  <si>
    <t>HISTORY OF PAKISTAN</t>
  </si>
  <si>
    <t>ISLAMIC STUDIES</t>
  </si>
  <si>
    <t>ISLAMIYAT (COMPULSORY)</t>
  </si>
  <si>
    <t>PERSIAN</t>
  </si>
  <si>
    <t>PHYSIOLOGY &amp; HYGIENE</t>
  </si>
  <si>
    <t>POULTRY FARMING</t>
  </si>
  <si>
    <t>PUNJABI</t>
  </si>
  <si>
    <t>TRANSLATION OF HOLY QURAN</t>
  </si>
  <si>
    <t>URDU LITERATURE</t>
  </si>
  <si>
    <t>WOOD WORK (FURNITURE MAKING)</t>
  </si>
  <si>
    <t>BISE Kohat - Result at a Glance: Science Group (Class 9th, 2025 vs 2026)</t>
  </si>
  <si>
    <t>Note: Science Group is reported for Regular candidates only (no Private category published) in both years.</t>
  </si>
  <si>
    <t>BISE Kohat - Result at a Glance: General Group (Class 9th, 2025 vs 2026)</t>
  </si>
  <si>
    <t>Grand Total (Science + General)</t>
  </si>
  <si>
    <t>BISE Kohat - Overall Result Class 9th + 10th Combined</t>
  </si>
  <si>
    <t>Note: This combined 9th+10th comparison table was published only in the 2026 gazette; the 2025 gazette did not include it.</t>
  </si>
  <si>
    <t>Class</t>
  </si>
  <si>
    <t>9th</t>
  </si>
  <si>
    <t>10th</t>
  </si>
  <si>
    <t>BISE Kohat - Subject Wise Pass Percentage (Class 9th, 2025 vs 2026, Normalized by Subject)</t>
  </si>
  <si>
    <t>Computer Science (For Deaf)</t>
  </si>
  <si>
    <t>Element Of Home Economics</t>
  </si>
  <si>
    <t>Ethics (For Non-Muslims)</t>
  </si>
  <si>
    <t>Islamiyat (Comp)</t>
  </si>
  <si>
    <t>Maths General (Arts)</t>
  </si>
  <si>
    <t>Mutaliae Quran-E-Hakeem</t>
  </si>
  <si>
    <t>Wood Work</t>
  </si>
  <si>
    <t>BISE Lahore - Science Group Regular/Private Candidates Details (2025 vs 2026)</t>
  </si>
  <si>
    <t>Regular Boys</t>
  </si>
  <si>
    <t>Regular Girls</t>
  </si>
  <si>
    <t>Regular Total</t>
  </si>
  <si>
    <t>Private Boys</t>
  </si>
  <si>
    <t>Private Girls</t>
  </si>
  <si>
    <t>Private Total</t>
  </si>
  <si>
    <t>All Boys (Reg+Pvt)</t>
  </si>
  <si>
    <t>All Girls (Reg+Pvt)</t>
  </si>
  <si>
    <t>Total (Boys+Girls)</t>
  </si>
  <si>
    <t>BISE Lahore - Humanities (Arts) Group Regular/Private Candidates Details (2025 vs 2026)</t>
  </si>
  <si>
    <t>BISE Lahore - Tech Group Regular/Private Candidates Details (2025 vs 2026) - Note: Tech group not offered/reported in 2025</t>
  </si>
  <si>
    <t>BISE Lahore - Overall Pass Percentage of Part System (2025 vs 2026)</t>
  </si>
  <si>
    <t>BISE Lahore - Statistical Data Regarding SSC (9th Class) Result (2025 vs 2026) - Cleaned &amp; Normalized</t>
  </si>
  <si>
    <t>Sub-Category</t>
  </si>
  <si>
    <t>Applied</t>
  </si>
  <si>
    <t>Regular Candidates</t>
  </si>
  <si>
    <t>Govt. Institutes</t>
  </si>
  <si>
    <t>Tech</t>
  </si>
  <si>
    <t>Sub-Total</t>
  </si>
  <si>
    <t>Total (Groupwise)</t>
  </si>
  <si>
    <t>Total (Govt. Inst.)</t>
  </si>
  <si>
    <t>Private Institutes</t>
  </si>
  <si>
    <t>Total (Pvt. Inst.)</t>
  </si>
  <si>
    <t>Total (Reg. Candidates)</t>
  </si>
  <si>
    <t>Private Candidates</t>
  </si>
  <si>
    <t>Gender Wise (Regular/Private)</t>
  </si>
  <si>
    <t>All Institutes</t>
  </si>
  <si>
    <t>TOTAL</t>
  </si>
  <si>
    <t>Total (Pvt. Candidates)</t>
  </si>
  <si>
    <t>Regular + Private Candidates</t>
  </si>
  <si>
    <t>BISE Lahore - Subject Wise Pass Percentage (2025 vs 2026, Normalized by Subject)</t>
  </si>
  <si>
    <t>Subject (Theory/Practical)</t>
  </si>
  <si>
    <t>Regular Appeared</t>
  </si>
  <si>
    <t>Regular Passed</t>
  </si>
  <si>
    <t>Regular Pass %</t>
  </si>
  <si>
    <t>Private Appeared</t>
  </si>
  <si>
    <t>Private Passed</t>
  </si>
  <si>
    <t>Private Pass %</t>
  </si>
  <si>
    <t>Overall Appeared</t>
  </si>
  <si>
    <t>Overall Passed</t>
  </si>
  <si>
    <t>Advanced Islamic Studies</t>
  </si>
  <si>
    <t>Agriculture Sciences - Practical</t>
  </si>
  <si>
    <t>Al-Hadith</t>
  </si>
  <si>
    <t>Arithmetic</t>
  </si>
  <si>
    <t>Art and Model Drawing</t>
  </si>
  <si>
    <t>Beautician</t>
  </si>
  <si>
    <t>Business Methods</t>
  </si>
  <si>
    <t>Commercial Geography</t>
  </si>
  <si>
    <t>Electrical Wiring</t>
  </si>
  <si>
    <t>English (Compulsory)</t>
  </si>
  <si>
    <t>English (Literature)</t>
  </si>
  <si>
    <t>Fashion Designing - Practical</t>
  </si>
  <si>
    <t>Fish Farming</t>
  </si>
  <si>
    <t>Food and Nutrition</t>
  </si>
  <si>
    <t>General Sciences (Tech)</t>
  </si>
  <si>
    <t>Geometrical and Technical Drawing</t>
  </si>
  <si>
    <t>Health Sciences - Practical</t>
  </si>
  <si>
    <t>Health and Physical Education</t>
  </si>
  <si>
    <t>History (Islamic / Muslim)</t>
  </si>
  <si>
    <t>Information &amp; Communication Technology (ICT) - Practical</t>
  </si>
  <si>
    <t>Islamiyat (Compulsory)</t>
  </si>
  <si>
    <t>Military Science</t>
  </si>
  <si>
    <t>Pakistan Studies (Compulsory)</t>
  </si>
  <si>
    <t>Physiology and Hygiene</t>
  </si>
  <si>
    <t>Seeratul Nabi</t>
  </si>
  <si>
    <t>Urdu (Compulsory)</t>
  </si>
  <si>
    <t>Urdu (Dars-e-Nizami)</t>
  </si>
  <si>
    <t>Urdu (Literature)</t>
  </si>
  <si>
    <t>Wood Working (Furniture Making)</t>
  </si>
  <si>
    <t>BISE Mardan - Result at a Glance: Science Group (Class 9th, 2025 vs 2026)</t>
  </si>
  <si>
    <t>Note: BISE Mardan uses 'Promoted/Promoted %' terminology (equivalent to Passed/Pass %) and reports Absent Candidates separately.</t>
  </si>
  <si>
    <t>Total Candidates</t>
  </si>
  <si>
    <t>Promoted Candidates</t>
  </si>
  <si>
    <t>Promoted %</t>
  </si>
  <si>
    <t>Absent Candidates</t>
  </si>
  <si>
    <t>Regular (Female)</t>
  </si>
  <si>
    <t>Regular (Male)</t>
  </si>
  <si>
    <t>Private (Female)</t>
  </si>
  <si>
    <t>Private (Male)</t>
  </si>
  <si>
    <t>BISE Mardan - Result at a Glance: Humanities Group (Class 9th, 2025 vs 2026)</t>
  </si>
  <si>
    <t>BISE Mardan - Overall Result (Science + Humanities Combined, Class 9th)</t>
  </si>
  <si>
    <t>BISE Peshawar - Result at a Glance: Group Wise Distribution (Class 9th, 2025 vs 2026)</t>
  </si>
  <si>
    <t>Note: 'Passed' = candidates passed outright; 'Promoted' = conditionally promoted (RL) candidates. Passed + Promoted = Total - Absent. Private Science category not offered/reported.</t>
  </si>
  <si>
    <t>Promoted</t>
  </si>
  <si>
    <t>Pass/Promoted %</t>
  </si>
  <si>
    <t>BISE Peshawar - SSC Annual-I Examination Result: Gender Wise (Class 9th, 2025 vs 2026)</t>
  </si>
  <si>
    <t>BISE Peshawar - Subject Wise Pass Percentage (Class 9th, 2025 vs 2026, Normalized by Subject)</t>
  </si>
  <si>
    <t>Ethics (For Other Religion Students)</t>
  </si>
  <si>
    <t>General Math</t>
  </si>
  <si>
    <t>Health &amp; Phys: Education</t>
  </si>
  <si>
    <t>History &amp; Geo: of Pakistan</t>
  </si>
  <si>
    <t>History of Indo Pak</t>
  </si>
  <si>
    <t>Mutala e Quran Hakeem</t>
  </si>
  <si>
    <t>BISE Rawalpindi - Pass Percentage by Group (Regular/Private/Overall), Class 9th, 2025 vs 2026</t>
  </si>
  <si>
    <t>Note: The 'Humanities' group in the 2026 gazette was labeled 'General' in the 2025 gazette - same group, renamed.</t>
  </si>
  <si>
    <t>Humanities (General)</t>
  </si>
  <si>
    <t>BISE Rawalpindi - Pass Percentage by Matric-Tech Group (Regular Candidates, Class 9th)</t>
  </si>
  <si>
    <t>Note: Matric-Tech group breakdown (Computer Science, Health Sciences, Agriculture Sciences, Fashion Designing) was published only in the 2026 gazette; the 2025 gazette did not include this table.</t>
  </si>
  <si>
    <t>BISE Rawalpindi - Result Statistical Data (Class 9th, 2025 vs 2026)</t>
  </si>
  <si>
    <t>Regular (Government Institutes)</t>
  </si>
  <si>
    <t>Regular (Affiliated Institutes)</t>
  </si>
  <si>
    <t>BISE Rawalpindi - District Wise Performance (Class 9th, 2025 vs 2026)</t>
  </si>
  <si>
    <t>Attock</t>
  </si>
  <si>
    <t>Chakwal</t>
  </si>
  <si>
    <t>Jehlum</t>
  </si>
  <si>
    <t>Talagang</t>
  </si>
  <si>
    <t>Murree</t>
  </si>
  <si>
    <t>BISE Rawalpindi - Subject Wise Pass Percentage (Class 9th, 2025 vs 2026, Normalized by Subject)</t>
  </si>
  <si>
    <t>Note: Some subject rows appear twice in a single year's original gazette under the identical name (e.g. Computer Science) representing distinct small cohorts (likely Tech-stream); these are labeled '- Small Cohort (Tech)' to preserve both values.</t>
  </si>
  <si>
    <t>Agriculture Sciences (Tech)</t>
  </si>
  <si>
    <t>Al-Hadith Wal-Fiqah</t>
  </si>
  <si>
    <t>Arithmetic (Compulsory)</t>
  </si>
  <si>
    <t>Clothing and Textile</t>
  </si>
  <si>
    <t>Communication Skill &amp; Personal Grooming</t>
  </si>
  <si>
    <t>Computer Science - Small Cohort (Tech)</t>
  </si>
  <si>
    <t>Fashion Designing (Tech)</t>
  </si>
  <si>
    <t>General Mathematics (Arts)</t>
  </si>
  <si>
    <t>Health Sciences (Tech)</t>
  </si>
  <si>
    <t>Health and Physical Education - Small Cohort (Tech)</t>
  </si>
  <si>
    <t>Islamiyat (Elective)</t>
  </si>
  <si>
    <t>Mathematics (Compulsory)</t>
  </si>
  <si>
    <t>Seerat Ur Rasool/Islamiyat</t>
  </si>
  <si>
    <t>Tarjama Tul Quran Ul Majeed</t>
  </si>
  <si>
    <t>Urdu (Compulsory) Dars-E-Nizami</t>
  </si>
  <si>
    <t>BISE Sahiwal - Overall Summary (Class 9th, 2025 vs 2026)</t>
  </si>
  <si>
    <t>Total Applied</t>
  </si>
  <si>
    <t>BISE Sahiwal - Result at a Glance: Group Wise Pass Percentage (Class 9th, 2025 vs 2026)</t>
  </si>
  <si>
    <t>Note: Matric-Tech groups (Health Sciences, Agriculture Sciences, Fashion Designing, Computer Sciences) were reported only in the 2026 gazette; the 2025 gazette covered Science, General and Deaf &amp; Dumb groups only.</t>
  </si>
  <si>
    <t>Matric-Tech (Health Sciences)</t>
  </si>
  <si>
    <t>Matric-Tech (Agriculture Sciences)</t>
  </si>
  <si>
    <t>Matric-Tech (Fashion Designing)</t>
  </si>
  <si>
    <t>Matric-Tech (Computer Sciences)</t>
  </si>
  <si>
    <t>Candidates Applied</t>
  </si>
  <si>
    <t>Deaf and Dumb Group</t>
  </si>
  <si>
    <t>Matric-Tech (Agriculture Sciences) Group</t>
  </si>
  <si>
    <t>Matric-Tech (Computer Science) Group</t>
  </si>
  <si>
    <t>Matric-Tech (Fashion Designing) Group</t>
  </si>
  <si>
    <t>Matric-Tech (Health Sciences) Group</t>
  </si>
  <si>
    <t>Govt</t>
  </si>
  <si>
    <t>NonGovt</t>
  </si>
  <si>
    <t>Bhakkar</t>
  </si>
  <si>
    <t>Khushab</t>
  </si>
  <si>
    <t>Mianwali</t>
  </si>
  <si>
    <t>Subject Code</t>
  </si>
  <si>
    <t>F</t>
  </si>
  <si>
    <t>1020</t>
  </si>
  <si>
    <t>1071</t>
  </si>
  <si>
    <t>1024</t>
  </si>
  <si>
    <t>1023</t>
  </si>
  <si>
    <t>1010</t>
  </si>
  <si>
    <t>1046</t>
  </si>
  <si>
    <t>1059</t>
  </si>
  <si>
    <t>1048</t>
  </si>
  <si>
    <t>1057</t>
  </si>
  <si>
    <t>1017</t>
  </si>
  <si>
    <t>1075</t>
  </si>
  <si>
    <t>1080</t>
  </si>
  <si>
    <t>1089</t>
  </si>
  <si>
    <t>1082</t>
  </si>
  <si>
    <t>1083</t>
  </si>
  <si>
    <t>1079</t>
  </si>
  <si>
    <t>Computer Science &amp; Enterpreneurship (Tech)</t>
  </si>
  <si>
    <t>1018</t>
  </si>
  <si>
    <t>1028</t>
  </si>
  <si>
    <t>1011</t>
  </si>
  <si>
    <t>1043</t>
  </si>
  <si>
    <t>1030</t>
  </si>
  <si>
    <t>1021</t>
  </si>
  <si>
    <t>1029</t>
  </si>
  <si>
    <t>5001</t>
  </si>
  <si>
    <t>6001</t>
  </si>
  <si>
    <t>1027</t>
  </si>
  <si>
    <t>5004</t>
  </si>
  <si>
    <t>1086</t>
  </si>
  <si>
    <t>1077</t>
  </si>
  <si>
    <t>5026</t>
  </si>
  <si>
    <t>1009</t>
  </si>
  <si>
    <t>1076</t>
  </si>
  <si>
    <t>1012</t>
  </si>
  <si>
    <t>1062</t>
  </si>
  <si>
    <t>1042</t>
  </si>
  <si>
    <t>1007</t>
  </si>
  <si>
    <t>1051</t>
  </si>
  <si>
    <t>1092</t>
  </si>
  <si>
    <t>6092</t>
  </si>
  <si>
    <t>5019</t>
  </si>
  <si>
    <t>1098</t>
  </si>
  <si>
    <t>Mathematics (Deaf &amp; Dumb)</t>
  </si>
  <si>
    <t>1034</t>
  </si>
  <si>
    <t>6042</t>
  </si>
  <si>
    <t>1047</t>
  </si>
  <si>
    <t>1056</t>
  </si>
  <si>
    <t>1052</t>
  </si>
  <si>
    <t>1032</t>
  </si>
  <si>
    <t>5005</t>
  </si>
  <si>
    <t>1097</t>
  </si>
  <si>
    <t>5090</t>
  </si>
  <si>
    <t>6090</t>
  </si>
  <si>
    <t>5002</t>
  </si>
  <si>
    <t>6002</t>
  </si>
  <si>
    <t>1037</t>
  </si>
  <si>
    <t>1099</t>
  </si>
  <si>
    <t>Fashion Design Group</t>
  </si>
  <si>
    <t>Agriculture Science Group</t>
  </si>
  <si>
    <t>Health Science Group</t>
  </si>
  <si>
    <t>Computer Science Group</t>
  </si>
  <si>
    <t>Muzaffargarh</t>
  </si>
  <si>
    <t>Taunsa</t>
  </si>
  <si>
    <t>Kot Adu</t>
  </si>
  <si>
    <t>Layyah</t>
  </si>
  <si>
    <t>Dera Ghazi Khan</t>
  </si>
  <si>
    <t>Rajanpur</t>
  </si>
  <si>
    <t>No Grade</t>
  </si>
  <si>
    <t>Regular - Govt. Schools</t>
  </si>
  <si>
    <t>Regular - Private Affl. Schools</t>
  </si>
  <si>
    <t>ADVANCED ISLAMIC STUDIES</t>
  </si>
  <si>
    <t>AKHLAQIYAT FOR NON MUSLIM</t>
  </si>
  <si>
    <t>ART AND MODEL DRAWING</t>
  </si>
  <si>
    <t>CHILD DEVELOPMENT AND FAMILY LIVING</t>
  </si>
  <si>
    <t>CIVICS FOR NON MUSLIM</t>
  </si>
  <si>
    <t>CLOTHING &amp; TEXTILE</t>
  </si>
  <si>
    <t>COMMUNICATION SKILLS &amp; PERSONAL GROOMING</t>
  </si>
  <si>
    <t>COMPUTER SCIENCE &amp; ENTREPRENEURSHIP</t>
  </si>
  <si>
    <t>COMPUTER SCIENCE &amp; ENTREPRENEURSHIP (TECH)</t>
  </si>
  <si>
    <t>ENGLISH LITERATURE</t>
  </si>
  <si>
    <t>GENERAL MATHS</t>
  </si>
  <si>
    <t>GEOMATRICAL AND TECHNICAL DRAWING</t>
  </si>
  <si>
    <t>HISTORY OF ISLAM</t>
  </si>
  <si>
    <t>MANAGEMENT FOR BETTER HOMES</t>
  </si>
  <si>
    <t>RELIGIOUS EDUCATION</t>
  </si>
  <si>
    <t>TARJAMA-TUL-QURAN-UL-MAJEED</t>
  </si>
  <si>
    <t>URDU (ADVANCED)</t>
  </si>
  <si>
    <t>WOOD WORK</t>
  </si>
  <si>
    <t>Enrolled</t>
  </si>
  <si>
    <t>Result Later</t>
  </si>
  <si>
    <t>Result Withheld</t>
  </si>
  <si>
    <t>Fail</t>
  </si>
  <si>
    <t>Fail-1 Subj</t>
  </si>
  <si>
    <t>Fail-2 Subj</t>
  </si>
  <si>
    <t>Fail-3 Subj</t>
  </si>
  <si>
    <t>Fail-4 Subj</t>
  </si>
  <si>
    <t>Fail-5 Subj</t>
  </si>
  <si>
    <t>Fail-6 Subj</t>
  </si>
  <si>
    <t>Fail-7 Subj</t>
  </si>
  <si>
    <t>Fail-8 Subj</t>
  </si>
  <si>
    <t>Ex/Private</t>
  </si>
  <si>
    <t>S.No (source)</t>
  </si>
  <si>
    <t>Appeared - Regular</t>
  </si>
  <si>
    <t>Appeared - Ex/Private</t>
  </si>
  <si>
    <t>Appeared - Total</t>
  </si>
  <si>
    <t>Passed - Regular</t>
  </si>
  <si>
    <t>Passed - Ex/Private</t>
  </si>
  <si>
    <t>Passed - Total</t>
  </si>
  <si>
    <t>Pass % - Regular</t>
  </si>
  <si>
    <t>Pass % - Ex/Private</t>
  </si>
  <si>
    <t>Pass % - Total</t>
  </si>
  <si>
    <t>Arabic - I</t>
  </si>
  <si>
    <t>Art Model Drawing and Fine Arts - I</t>
  </si>
  <si>
    <t>Art and Model Drawing - I</t>
  </si>
  <si>
    <t>Art and Model Drawing - I (HIC)</t>
  </si>
  <si>
    <t>Biology - I</t>
  </si>
  <si>
    <t>Buddism</t>
  </si>
  <si>
    <t>Chemistry - I</t>
  </si>
  <si>
    <t>Christianity</t>
  </si>
  <si>
    <t>Civics - I</t>
  </si>
  <si>
    <t>Clothing &amp; Textile - I</t>
  </si>
  <si>
    <t>Clothing and Textile - I</t>
  </si>
  <si>
    <t>Commercial Geography - I</t>
  </si>
  <si>
    <t>Computer Science - I</t>
  </si>
  <si>
    <t>Computer Science - I (HIC)</t>
  </si>
  <si>
    <t>Dress Making and Fashion Designing - I</t>
  </si>
  <si>
    <t>Economics - I</t>
  </si>
  <si>
    <t>Education - I</t>
  </si>
  <si>
    <t>Education - I (HIC)</t>
  </si>
  <si>
    <t>Electrical Wiring - I</t>
  </si>
  <si>
    <t>English Compulsory - I</t>
  </si>
  <si>
    <t>English Compulsory - I (HIC)</t>
  </si>
  <si>
    <t>English Elective - I</t>
  </si>
  <si>
    <t>English Lit - I (in lieu of Eng-I)</t>
  </si>
  <si>
    <t>Essential of Home Economics - I</t>
  </si>
  <si>
    <t>Ethics (For Minorities) - I</t>
  </si>
  <si>
    <t>Food and Nutrition - I</t>
  </si>
  <si>
    <t>General Science - I</t>
  </si>
  <si>
    <t>General Science - I (HIC)</t>
  </si>
  <si>
    <t>Geography - I</t>
  </si>
  <si>
    <t>Geography of Pakistan - I</t>
  </si>
  <si>
    <t>Health &amp; Physical Education - I</t>
  </si>
  <si>
    <t>Health and Physical Education - I</t>
  </si>
  <si>
    <t>Home Economics - I</t>
  </si>
  <si>
    <t>Ikhlaqiyat (Ethics) - I</t>
  </si>
  <si>
    <t>Islamic History - I</t>
  </si>
  <si>
    <t>Islamic Studies - I</t>
  </si>
  <si>
    <t>Islamiyat Comp - I (HIC)</t>
  </si>
  <si>
    <t>Islamiyat Compulsory</t>
  </si>
  <si>
    <t>Islamiyat Compulsory - I</t>
  </si>
  <si>
    <t>Mathematics (Gen.) - I</t>
  </si>
  <si>
    <t>Mathematics - I</t>
  </si>
  <si>
    <t>Mathematics - I (HIC)</t>
  </si>
  <si>
    <t>Pakistan Studies - I</t>
  </si>
  <si>
    <t>Pakistan Studies - I (HIC)</t>
  </si>
  <si>
    <t>Physics - I</t>
  </si>
  <si>
    <t>Sanatan Dharam/Hinduism</t>
  </si>
  <si>
    <t>Sikhism</t>
  </si>
  <si>
    <t>Translation of Holy Quran - I</t>
  </si>
  <si>
    <t>Urdu Compulsory - I</t>
  </si>
  <si>
    <t>Urdu Compulsory - I (HIC)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</si>
</sst>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\+0.00%;\-0.00%;0.00%"/>
  </numFmts>
  <fonts count="1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u/>
      <sz val="11"/>
      <color rgb="FF0563C1"/>
      <name val="Arial"/>
      <charset val="1"/>
    </font>
    <font>
      <b/>
      <sz val="11"/>
      <color rgb="FFFFFFFF"/>
      <name val="Arial"/>
      <charset val="1"/>
    </font>
    <font>
      <b/>
      <i/>
      <sz val="11"/>
      <name val="Arial"/>
      <charset val="1"/>
    </font>
    <font>
      <i/>
      <sz val="11"/>
      <color rgb="FF808080"/>
      <name val="Arial"/>
      <charset val="1"/>
    </font>
    <font>
      <sz val="10"/>
      <name val="Arial"/>
      <charset val="1"/>
    </font>
    <font>
      <sz val="11"/>
      <color theme="1"/>
      <name val="Arial"/>
      <charset val="1"/>
    </font>
    <font>
      <b/>
      <sz val="13"/>
      <color rgb="FF1F4E78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charset val="1"/>
    </font>
    <font>
      <b/>
      <i/>
      <sz val="10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B1E4D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1F4E78"/>
        <bgColor rgb="FF0563C1"/>
      </patternFill>
    </fill>
    <fill>
      <patternFill patternType="solid">
        <fgColor rgb="FFFCE4D6"/>
        <bgColor rgb="FFFFF2CC"/>
      </patternFill>
    </fill>
    <fill>
      <patternFill patternType="solid">
        <fgColor rgb="FFD9D2E9"/>
        <bgColor rgb="FFDDEBF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3" fontId="0" fillId="3" borderId="1" xfId="0" applyNumberFormat="1" applyFill="1" applyBorder="1"/>
    <xf numFmtId="10" fontId="0" fillId="3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  <xf numFmtId="10" fontId="0" fillId="4" borderId="1" xfId="0" applyNumberFormat="1" applyFill="1" applyBorder="1"/>
    <xf numFmtId="0" fontId="7" fillId="5" borderId="1" xfId="0" applyFont="1" applyFill="1" applyBorder="1"/>
    <xf numFmtId="164" fontId="7" fillId="5" borderId="1" xfId="0" applyNumberFormat="1" applyFont="1" applyFill="1" applyBorder="1"/>
    <xf numFmtId="165" fontId="7" fillId="5" borderId="1" xfId="0" applyNumberFormat="1" applyFont="1" applyFill="1" applyBorder="1"/>
    <xf numFmtId="0" fontId="8" fillId="6" borderId="1" xfId="0" applyFont="1" applyFill="1" applyBorder="1"/>
    <xf numFmtId="0" fontId="6" fillId="7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2" fontId="9" fillId="0" borderId="1" xfId="0" applyNumberFormat="1" applyFont="1" applyBorder="1"/>
    <xf numFmtId="0" fontId="3" fillId="4" borderId="1" xfId="0" applyFont="1" applyFill="1" applyBorder="1"/>
    <xf numFmtId="2" fontId="3" fillId="4" borderId="1" xfId="0" applyNumberFormat="1" applyFont="1" applyFill="1" applyBorder="1"/>
    <xf numFmtId="0" fontId="10" fillId="3" borderId="1" xfId="0" applyFont="1" applyFill="1" applyBorder="1"/>
    <xf numFmtId="3" fontId="10" fillId="3" borderId="1" xfId="0" applyNumberFormat="1" applyFont="1" applyFill="1" applyBorder="1"/>
    <xf numFmtId="10" fontId="10" fillId="3" borderId="1" xfId="0" applyNumberFormat="1" applyFont="1" applyFill="1" applyBorder="1"/>
    <xf numFmtId="0" fontId="10" fillId="4" borderId="1" xfId="0" applyFont="1" applyFill="1" applyBorder="1"/>
    <xf numFmtId="3" fontId="10" fillId="4" borderId="1" xfId="0" applyNumberFormat="1" applyFont="1" applyFill="1" applyBorder="1"/>
    <xf numFmtId="10" fontId="10" fillId="4" borderId="1" xfId="0" applyNumberFormat="1" applyFont="1" applyFill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10" fontId="3" fillId="3" borderId="1" xfId="0" applyNumberFormat="1" applyFont="1" applyFill="1" applyBorder="1"/>
    <xf numFmtId="3" fontId="3" fillId="4" borderId="1" xfId="0" applyNumberFormat="1" applyFont="1" applyFill="1" applyBorder="1"/>
    <xf numFmtId="10" fontId="3" fillId="4" borderId="1" xfId="0" applyNumberFormat="1" applyFont="1" applyFill="1" applyBorder="1"/>
    <xf numFmtId="0" fontId="6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10" fontId="4" fillId="3" borderId="2" xfId="0" applyNumberFormat="1" applyFont="1" applyFill="1" applyBorder="1"/>
    <xf numFmtId="0" fontId="4" fillId="8" borderId="2" xfId="0" applyFont="1" applyFill="1" applyBorder="1"/>
    <xf numFmtId="10" fontId="4" fillId="8" borderId="2" xfId="0" applyNumberFormat="1" applyFont="1" applyFill="1" applyBorder="1"/>
    <xf numFmtId="0" fontId="4" fillId="4" borderId="2" xfId="0" applyFont="1" applyFill="1" applyBorder="1"/>
    <xf numFmtId="10" fontId="4" fillId="4" borderId="2" xfId="0" applyNumberFormat="1" applyFont="1" applyFill="1" applyBorder="1"/>
    <xf numFmtId="0" fontId="13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3" borderId="1" xfId="0" applyFont="1" applyFill="1" applyBorder="1"/>
    <xf numFmtId="2" fontId="9" fillId="3" borderId="1" xfId="0" applyNumberFormat="1" applyFont="1" applyFill="1" applyBorder="1"/>
    <xf numFmtId="0" fontId="9" fillId="8" borderId="1" xfId="0" applyFont="1" applyFill="1" applyBorder="1"/>
    <xf numFmtId="2" fontId="9" fillId="8" borderId="1" xfId="0" applyNumberFormat="1" applyFont="1" applyFill="1" applyBorder="1"/>
    <xf numFmtId="0" fontId="15" fillId="5" borderId="1" xfId="0" applyFont="1" applyFill="1" applyBorder="1"/>
    <xf numFmtId="2" fontId="15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0B1E4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BISE_9th_MASTER_2025-2026.xlsx" TargetMode="External"/><Relationship Id="rId18" Type="http://schemas.openxmlformats.org/officeDocument/2006/relationships/hyperlink" Target="BISE_9th_MASTER_2025-2026.xlsx" TargetMode="External"/><Relationship Id="rId26" Type="http://schemas.openxmlformats.org/officeDocument/2006/relationships/hyperlink" Target="BISE_9th_MASTER_2025-2026.xlsx" TargetMode="External"/><Relationship Id="rId39" Type="http://schemas.openxmlformats.org/officeDocument/2006/relationships/hyperlink" Target="BISE_9th_MASTER_2025-2026.xlsx" TargetMode="External"/><Relationship Id="rId21" Type="http://schemas.openxmlformats.org/officeDocument/2006/relationships/hyperlink" Target="BISE_9th_MASTER_2025-2026.xlsx" TargetMode="External"/><Relationship Id="rId34" Type="http://schemas.openxmlformats.org/officeDocument/2006/relationships/hyperlink" Target="BISE_9th_MASTER_2025-2026.xlsx" TargetMode="External"/><Relationship Id="rId42" Type="http://schemas.openxmlformats.org/officeDocument/2006/relationships/hyperlink" Target="BISE_9th_MASTER_2025-2026.xlsx" TargetMode="External"/><Relationship Id="rId47" Type="http://schemas.openxmlformats.org/officeDocument/2006/relationships/hyperlink" Target="BISE_9th_MASTER_2025-2026.xlsx" TargetMode="External"/><Relationship Id="rId50" Type="http://schemas.openxmlformats.org/officeDocument/2006/relationships/hyperlink" Target="BISE_9th_MASTER_2025-2026.xlsx" TargetMode="External"/><Relationship Id="rId55" Type="http://schemas.openxmlformats.org/officeDocument/2006/relationships/hyperlink" Target="BISE_9th_MASTER_2025-2026.xlsx" TargetMode="External"/><Relationship Id="rId7" Type="http://schemas.openxmlformats.org/officeDocument/2006/relationships/hyperlink" Target="BISE_9th_MASTER_2025-2026.xlsx" TargetMode="External"/><Relationship Id="rId2" Type="http://schemas.openxmlformats.org/officeDocument/2006/relationships/hyperlink" Target="BISE_9th_MASTER_2025-2026.xlsx" TargetMode="External"/><Relationship Id="rId16" Type="http://schemas.openxmlformats.org/officeDocument/2006/relationships/hyperlink" Target="BISE_9th_MASTER_2025-2026.xlsx" TargetMode="External"/><Relationship Id="rId29" Type="http://schemas.openxmlformats.org/officeDocument/2006/relationships/hyperlink" Target="BISE_9th_MASTER_2025-2026.xlsx" TargetMode="External"/><Relationship Id="rId11" Type="http://schemas.openxmlformats.org/officeDocument/2006/relationships/hyperlink" Target="BISE_9th_MASTER_2025-2026.xlsx" TargetMode="External"/><Relationship Id="rId24" Type="http://schemas.openxmlformats.org/officeDocument/2006/relationships/hyperlink" Target="BISE_9th_MASTER_2025-2026.xlsx" TargetMode="External"/><Relationship Id="rId32" Type="http://schemas.openxmlformats.org/officeDocument/2006/relationships/hyperlink" Target="BISE_9th_MASTER_2025-2026.xlsx" TargetMode="External"/><Relationship Id="rId37" Type="http://schemas.openxmlformats.org/officeDocument/2006/relationships/hyperlink" Target="BISE_9th_MASTER_2025-2026.xlsx" TargetMode="External"/><Relationship Id="rId40" Type="http://schemas.openxmlformats.org/officeDocument/2006/relationships/hyperlink" Target="BISE_9th_MASTER_2025-2026.xlsx" TargetMode="External"/><Relationship Id="rId45" Type="http://schemas.openxmlformats.org/officeDocument/2006/relationships/hyperlink" Target="BISE_9th_MASTER_2025-2026.xlsx" TargetMode="External"/><Relationship Id="rId53" Type="http://schemas.openxmlformats.org/officeDocument/2006/relationships/hyperlink" Target="BISE_9th_MASTER_2025-2026.xlsx" TargetMode="External"/><Relationship Id="rId58" Type="http://schemas.openxmlformats.org/officeDocument/2006/relationships/hyperlink" Target="BISE_9th_MASTER_2025-2026.xlsx" TargetMode="External"/><Relationship Id="rId5" Type="http://schemas.openxmlformats.org/officeDocument/2006/relationships/hyperlink" Target="BISE_9th_MASTER_2025-2026.xlsx" TargetMode="External"/><Relationship Id="rId19" Type="http://schemas.openxmlformats.org/officeDocument/2006/relationships/hyperlink" Target="BISE_9th_MASTER_2025-2026.xlsx" TargetMode="External"/><Relationship Id="rId4" Type="http://schemas.openxmlformats.org/officeDocument/2006/relationships/hyperlink" Target="BISE_9th_MASTER_2025-2026.xlsx" TargetMode="External"/><Relationship Id="rId9" Type="http://schemas.openxmlformats.org/officeDocument/2006/relationships/hyperlink" Target="BISE_9th_MASTER_2025-2026.xlsx" TargetMode="External"/><Relationship Id="rId14" Type="http://schemas.openxmlformats.org/officeDocument/2006/relationships/hyperlink" Target="BISE_9th_MASTER_2025-2026.xlsx" TargetMode="External"/><Relationship Id="rId22" Type="http://schemas.openxmlformats.org/officeDocument/2006/relationships/hyperlink" Target="BISE_9th_MASTER_2025-2026.xlsx" TargetMode="External"/><Relationship Id="rId27" Type="http://schemas.openxmlformats.org/officeDocument/2006/relationships/hyperlink" Target="BISE_9th_MASTER_2025-2026.xlsx" TargetMode="External"/><Relationship Id="rId30" Type="http://schemas.openxmlformats.org/officeDocument/2006/relationships/hyperlink" Target="BISE_9th_MASTER_2025-2026.xlsx" TargetMode="External"/><Relationship Id="rId35" Type="http://schemas.openxmlformats.org/officeDocument/2006/relationships/hyperlink" Target="BISE_9th_MASTER_2025-2026.xlsx" TargetMode="External"/><Relationship Id="rId43" Type="http://schemas.openxmlformats.org/officeDocument/2006/relationships/hyperlink" Target="BISE_9th_MASTER_2025-2026.xlsx" TargetMode="External"/><Relationship Id="rId48" Type="http://schemas.openxmlformats.org/officeDocument/2006/relationships/hyperlink" Target="BISE_9th_MASTER_2025-2026.xlsx" TargetMode="External"/><Relationship Id="rId56" Type="http://schemas.openxmlformats.org/officeDocument/2006/relationships/hyperlink" Target="BISE_9th_MASTER_2025-2026.xlsx" TargetMode="External"/><Relationship Id="rId8" Type="http://schemas.openxmlformats.org/officeDocument/2006/relationships/hyperlink" Target="BISE_9th_MASTER_2025-2026.xlsx" TargetMode="External"/><Relationship Id="rId51" Type="http://schemas.openxmlformats.org/officeDocument/2006/relationships/hyperlink" Target="BISE_9th_MASTER_2025-2026.xlsx" TargetMode="External"/><Relationship Id="rId3" Type="http://schemas.openxmlformats.org/officeDocument/2006/relationships/hyperlink" Target="BISE_9th_MASTER_2025-2026.xlsx" TargetMode="External"/><Relationship Id="rId12" Type="http://schemas.openxmlformats.org/officeDocument/2006/relationships/hyperlink" Target="BISE_9th_MASTER_2025-2026.xlsx" TargetMode="External"/><Relationship Id="rId17" Type="http://schemas.openxmlformats.org/officeDocument/2006/relationships/hyperlink" Target="BISE_9th_MASTER_2025-2026.xlsx" TargetMode="External"/><Relationship Id="rId25" Type="http://schemas.openxmlformats.org/officeDocument/2006/relationships/hyperlink" Target="BISE_9th_MASTER_2025-2026.xlsx" TargetMode="External"/><Relationship Id="rId33" Type="http://schemas.openxmlformats.org/officeDocument/2006/relationships/hyperlink" Target="BISE_9th_MASTER_2025-2026.xlsx" TargetMode="External"/><Relationship Id="rId38" Type="http://schemas.openxmlformats.org/officeDocument/2006/relationships/hyperlink" Target="BISE_9th_MASTER_2025-2026.xlsx" TargetMode="External"/><Relationship Id="rId46" Type="http://schemas.openxmlformats.org/officeDocument/2006/relationships/hyperlink" Target="BISE_9th_MASTER_2025-2026.xlsx" TargetMode="External"/><Relationship Id="rId20" Type="http://schemas.openxmlformats.org/officeDocument/2006/relationships/hyperlink" Target="BISE_9th_MASTER_2025-2026.xlsx" TargetMode="External"/><Relationship Id="rId41" Type="http://schemas.openxmlformats.org/officeDocument/2006/relationships/hyperlink" Target="BISE_9th_MASTER_2025-2026.xlsx" TargetMode="External"/><Relationship Id="rId54" Type="http://schemas.openxmlformats.org/officeDocument/2006/relationships/hyperlink" Target="BISE_9th_MASTER_2025-2026.xlsx" TargetMode="External"/><Relationship Id="rId1" Type="http://schemas.openxmlformats.org/officeDocument/2006/relationships/hyperlink" Target="BISE_9th_MASTER_2025-2026.xlsx" TargetMode="External"/><Relationship Id="rId6" Type="http://schemas.openxmlformats.org/officeDocument/2006/relationships/hyperlink" Target="BISE_9th_MASTER_2025-2026.xlsx" TargetMode="External"/><Relationship Id="rId15" Type="http://schemas.openxmlformats.org/officeDocument/2006/relationships/hyperlink" Target="BISE_9th_MASTER_2025-2026.xlsx" TargetMode="External"/><Relationship Id="rId23" Type="http://schemas.openxmlformats.org/officeDocument/2006/relationships/hyperlink" Target="BISE_9th_MASTER_2025-2026.xlsx" TargetMode="External"/><Relationship Id="rId28" Type="http://schemas.openxmlformats.org/officeDocument/2006/relationships/hyperlink" Target="BISE_9th_MASTER_2025-2026.xlsx" TargetMode="External"/><Relationship Id="rId36" Type="http://schemas.openxmlformats.org/officeDocument/2006/relationships/hyperlink" Target="BISE_9th_MASTER_2025-2026.xlsx" TargetMode="External"/><Relationship Id="rId49" Type="http://schemas.openxmlformats.org/officeDocument/2006/relationships/hyperlink" Target="BISE_9th_MASTER_2025-2026.xlsx" TargetMode="External"/><Relationship Id="rId57" Type="http://schemas.openxmlformats.org/officeDocument/2006/relationships/hyperlink" Target="BISE_9th_MASTER_2025-2026.xlsx" TargetMode="External"/><Relationship Id="rId10" Type="http://schemas.openxmlformats.org/officeDocument/2006/relationships/hyperlink" Target="BISE_9th_MASTER_2025-2026.xlsx" TargetMode="External"/><Relationship Id="rId31" Type="http://schemas.openxmlformats.org/officeDocument/2006/relationships/hyperlink" Target="BISE_9th_MASTER_2025-2026.xlsx" TargetMode="External"/><Relationship Id="rId44" Type="http://schemas.openxmlformats.org/officeDocument/2006/relationships/hyperlink" Target="BISE_9th_MASTER_2025-2026.xlsx" TargetMode="External"/><Relationship Id="rId52" Type="http://schemas.openxmlformats.org/officeDocument/2006/relationships/hyperlink" Target="BISE_9th_MASTER_2025-20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42" customWidth="1"/>
    <col min="3" max="3" width="30" customWidth="1"/>
    <col min="4" max="4" width="34" customWidth="1"/>
  </cols>
  <sheetData>
    <row r="1" spans="1:4" ht="18" x14ac:dyDescent="0.25">
      <c r="A1" s="3" t="s">
        <v>0</v>
      </c>
      <c r="B1" s="3"/>
      <c r="C1" s="3"/>
      <c r="D1" s="3"/>
    </row>
    <row r="3" spans="1:4" ht="15.75" x14ac:dyDescent="0.25">
      <c r="A3" s="4" t="s">
        <v>1</v>
      </c>
      <c r="B3" s="4" t="s">
        <v>2</v>
      </c>
      <c r="C3" s="4" t="s">
        <v>3</v>
      </c>
      <c r="D3" s="4" t="s">
        <v>4</v>
      </c>
    </row>
    <row r="4" spans="1:4" x14ac:dyDescent="0.25">
      <c r="A4" s="5" t="s">
        <v>5</v>
      </c>
      <c r="B4" s="6" t="s">
        <v>6</v>
      </c>
      <c r="C4" s="6" t="s">
        <v>7</v>
      </c>
      <c r="D4" s="7" t="s">
        <v>8</v>
      </c>
    </row>
    <row r="5" spans="1:4" x14ac:dyDescent="0.25">
      <c r="A5" s="5" t="s">
        <v>5</v>
      </c>
      <c r="B5" s="6" t="s">
        <v>6</v>
      </c>
      <c r="C5" s="6" t="s">
        <v>9</v>
      </c>
      <c r="D5" s="7" t="s">
        <v>10</v>
      </c>
    </row>
    <row r="6" spans="1:4" x14ac:dyDescent="0.25">
      <c r="A6" s="5" t="s">
        <v>5</v>
      </c>
      <c r="B6" s="6" t="s">
        <v>6</v>
      </c>
      <c r="C6" s="6" t="s">
        <v>11</v>
      </c>
      <c r="D6" s="7" t="s">
        <v>12</v>
      </c>
    </row>
    <row r="7" spans="1:4" x14ac:dyDescent="0.25">
      <c r="A7" s="5" t="s">
        <v>13</v>
      </c>
      <c r="B7" s="6" t="s">
        <v>14</v>
      </c>
      <c r="C7" s="6" t="s">
        <v>9</v>
      </c>
      <c r="D7" s="7" t="s">
        <v>15</v>
      </c>
    </row>
    <row r="8" spans="1:4" x14ac:dyDescent="0.25">
      <c r="A8" s="5" t="s">
        <v>13</v>
      </c>
      <c r="B8" s="6" t="s">
        <v>14</v>
      </c>
      <c r="C8" s="6" t="s">
        <v>7</v>
      </c>
      <c r="D8" s="7" t="s">
        <v>16</v>
      </c>
    </row>
    <row r="9" spans="1:4" x14ac:dyDescent="0.25">
      <c r="A9" s="5" t="s">
        <v>13</v>
      </c>
      <c r="B9" s="6" t="s">
        <v>14</v>
      </c>
      <c r="C9" s="6" t="s">
        <v>11</v>
      </c>
      <c r="D9" s="7" t="s">
        <v>17</v>
      </c>
    </row>
    <row r="10" spans="1:4" x14ac:dyDescent="0.25">
      <c r="A10" s="5" t="s">
        <v>18</v>
      </c>
      <c r="B10" s="6" t="s">
        <v>19</v>
      </c>
      <c r="C10" s="6" t="s">
        <v>20</v>
      </c>
      <c r="D10" s="7" t="s">
        <v>21</v>
      </c>
    </row>
    <row r="11" spans="1:4" x14ac:dyDescent="0.25">
      <c r="A11" s="5" t="s">
        <v>18</v>
      </c>
      <c r="B11" s="6" t="s">
        <v>19</v>
      </c>
      <c r="C11" s="6" t="s">
        <v>22</v>
      </c>
      <c r="D11" s="7" t="s">
        <v>23</v>
      </c>
    </row>
    <row r="12" spans="1:4" x14ac:dyDescent="0.25">
      <c r="A12" s="5" t="s">
        <v>18</v>
      </c>
      <c r="B12" s="6" t="s">
        <v>19</v>
      </c>
      <c r="C12" s="6" t="s">
        <v>24</v>
      </c>
      <c r="D12" s="7" t="s">
        <v>25</v>
      </c>
    </row>
    <row r="13" spans="1:4" x14ac:dyDescent="0.25">
      <c r="A13" s="5" t="s">
        <v>18</v>
      </c>
      <c r="B13" s="6" t="s">
        <v>19</v>
      </c>
      <c r="C13" s="6" t="s">
        <v>11</v>
      </c>
      <c r="D13" s="7" t="s">
        <v>26</v>
      </c>
    </row>
    <row r="14" spans="1:4" x14ac:dyDescent="0.25">
      <c r="A14" s="5" t="s">
        <v>27</v>
      </c>
      <c r="B14" s="6" t="s">
        <v>28</v>
      </c>
      <c r="C14" s="6" t="s">
        <v>22</v>
      </c>
      <c r="D14" s="7" t="s">
        <v>29</v>
      </c>
    </row>
    <row r="15" spans="1:4" x14ac:dyDescent="0.25">
      <c r="A15" s="5" t="s">
        <v>30</v>
      </c>
      <c r="B15" s="6" t="s">
        <v>31</v>
      </c>
      <c r="C15" s="6" t="s">
        <v>7</v>
      </c>
      <c r="D15" s="7" t="s">
        <v>32</v>
      </c>
    </row>
    <row r="16" spans="1:4" x14ac:dyDescent="0.25">
      <c r="A16" s="5" t="s">
        <v>30</v>
      </c>
      <c r="B16" s="6" t="s">
        <v>31</v>
      </c>
      <c r="C16" s="6" t="s">
        <v>33</v>
      </c>
      <c r="D16" s="7" t="s">
        <v>34</v>
      </c>
    </row>
    <row r="17" spans="1:4" x14ac:dyDescent="0.25">
      <c r="A17" s="5" t="s">
        <v>30</v>
      </c>
      <c r="B17" s="6" t="s">
        <v>31</v>
      </c>
      <c r="C17" s="6" t="s">
        <v>35</v>
      </c>
      <c r="D17" s="7" t="s">
        <v>36</v>
      </c>
    </row>
    <row r="18" spans="1:4" x14ac:dyDescent="0.25">
      <c r="A18" s="5" t="s">
        <v>30</v>
      </c>
      <c r="B18" s="6" t="s">
        <v>31</v>
      </c>
      <c r="C18" s="6" t="s">
        <v>37</v>
      </c>
      <c r="D18" s="7" t="s">
        <v>38</v>
      </c>
    </row>
    <row r="19" spans="1:4" x14ac:dyDescent="0.25">
      <c r="A19" s="5" t="s">
        <v>30</v>
      </c>
      <c r="B19" s="6" t="s">
        <v>31</v>
      </c>
      <c r="C19" s="6" t="s">
        <v>39</v>
      </c>
      <c r="D19" s="7" t="s">
        <v>40</v>
      </c>
    </row>
    <row r="20" spans="1:4" x14ac:dyDescent="0.25">
      <c r="A20" s="5" t="s">
        <v>30</v>
      </c>
      <c r="B20" s="6" t="s">
        <v>31</v>
      </c>
      <c r="C20" s="6" t="s">
        <v>41</v>
      </c>
      <c r="D20" s="7" t="s">
        <v>42</v>
      </c>
    </row>
    <row r="21" spans="1:4" x14ac:dyDescent="0.25">
      <c r="A21" s="5" t="s">
        <v>43</v>
      </c>
      <c r="B21" s="6" t="s">
        <v>44</v>
      </c>
      <c r="C21" s="6" t="s">
        <v>7</v>
      </c>
      <c r="D21" s="7" t="s">
        <v>45</v>
      </c>
    </row>
    <row r="22" spans="1:4" x14ac:dyDescent="0.25">
      <c r="A22" s="5" t="s">
        <v>43</v>
      </c>
      <c r="B22" s="6" t="s">
        <v>44</v>
      </c>
      <c r="C22" s="6" t="s">
        <v>9</v>
      </c>
      <c r="D22" s="7" t="s">
        <v>46</v>
      </c>
    </row>
    <row r="23" spans="1:4" x14ac:dyDescent="0.25">
      <c r="A23" s="5" t="s">
        <v>43</v>
      </c>
      <c r="B23" s="6" t="s">
        <v>44</v>
      </c>
      <c r="C23" s="6" t="s">
        <v>47</v>
      </c>
      <c r="D23" s="7" t="s">
        <v>48</v>
      </c>
    </row>
    <row r="24" spans="1:4" x14ac:dyDescent="0.25">
      <c r="A24" s="5" t="s">
        <v>43</v>
      </c>
      <c r="B24" s="6" t="s">
        <v>44</v>
      </c>
      <c r="C24" s="6" t="s">
        <v>11</v>
      </c>
      <c r="D24" s="7" t="s">
        <v>49</v>
      </c>
    </row>
    <row r="25" spans="1:4" x14ac:dyDescent="0.25">
      <c r="A25" s="5" t="s">
        <v>50</v>
      </c>
      <c r="B25" s="6" t="s">
        <v>51</v>
      </c>
      <c r="C25" s="6" t="s">
        <v>52</v>
      </c>
      <c r="D25" s="7" t="s">
        <v>53</v>
      </c>
    </row>
    <row r="26" spans="1:4" x14ac:dyDescent="0.25">
      <c r="A26" s="5" t="s">
        <v>50</v>
      </c>
      <c r="B26" s="6" t="s">
        <v>51</v>
      </c>
      <c r="C26" s="6" t="s">
        <v>54</v>
      </c>
      <c r="D26" s="7" t="s">
        <v>55</v>
      </c>
    </row>
    <row r="27" spans="1:4" x14ac:dyDescent="0.25">
      <c r="A27" s="5" t="s">
        <v>50</v>
      </c>
      <c r="B27" s="6" t="s">
        <v>51</v>
      </c>
      <c r="C27" s="6" t="s">
        <v>56</v>
      </c>
      <c r="D27" s="7" t="s">
        <v>57</v>
      </c>
    </row>
    <row r="28" spans="1:4" x14ac:dyDescent="0.25">
      <c r="A28" s="5" t="s">
        <v>50</v>
      </c>
      <c r="B28" s="6" t="s">
        <v>51</v>
      </c>
      <c r="C28" s="6" t="s">
        <v>11</v>
      </c>
      <c r="D28" s="7" t="s">
        <v>58</v>
      </c>
    </row>
    <row r="29" spans="1:4" x14ac:dyDescent="0.25">
      <c r="A29" s="5" t="s">
        <v>59</v>
      </c>
      <c r="B29" s="6" t="s">
        <v>60</v>
      </c>
      <c r="C29" s="6" t="s">
        <v>52</v>
      </c>
      <c r="D29" s="7" t="s">
        <v>61</v>
      </c>
    </row>
    <row r="30" spans="1:4" x14ac:dyDescent="0.25">
      <c r="A30" s="5" t="s">
        <v>59</v>
      </c>
      <c r="B30" s="6" t="s">
        <v>60</v>
      </c>
      <c r="C30" s="6" t="s">
        <v>62</v>
      </c>
      <c r="D30" s="7" t="s">
        <v>63</v>
      </c>
    </row>
    <row r="31" spans="1:4" x14ac:dyDescent="0.25">
      <c r="A31" s="5" t="s">
        <v>59</v>
      </c>
      <c r="B31" s="6" t="s">
        <v>60</v>
      </c>
      <c r="C31" s="6" t="s">
        <v>64</v>
      </c>
      <c r="D31" s="7" t="s">
        <v>65</v>
      </c>
    </row>
    <row r="32" spans="1:4" x14ac:dyDescent="0.25">
      <c r="A32" s="5" t="s">
        <v>59</v>
      </c>
      <c r="B32" s="6" t="s">
        <v>60</v>
      </c>
      <c r="C32" s="6" t="s">
        <v>7</v>
      </c>
      <c r="D32" s="7" t="s">
        <v>66</v>
      </c>
    </row>
    <row r="33" spans="1:4" x14ac:dyDescent="0.25">
      <c r="A33" s="5" t="s">
        <v>59</v>
      </c>
      <c r="B33" s="6" t="s">
        <v>60</v>
      </c>
      <c r="C33" s="6" t="s">
        <v>67</v>
      </c>
      <c r="D33" s="7" t="s">
        <v>68</v>
      </c>
    </row>
    <row r="34" spans="1:4" x14ac:dyDescent="0.25">
      <c r="A34" s="5" t="s">
        <v>59</v>
      </c>
      <c r="B34" s="6" t="s">
        <v>60</v>
      </c>
      <c r="C34" s="6" t="s">
        <v>11</v>
      </c>
      <c r="D34" s="7" t="s">
        <v>69</v>
      </c>
    </row>
    <row r="35" spans="1:4" x14ac:dyDescent="0.25">
      <c r="A35" s="5" t="s">
        <v>70</v>
      </c>
      <c r="B35" s="6" t="s">
        <v>71</v>
      </c>
      <c r="C35" s="6" t="s">
        <v>52</v>
      </c>
      <c r="D35" s="7" t="s">
        <v>72</v>
      </c>
    </row>
    <row r="36" spans="1:4" x14ac:dyDescent="0.25">
      <c r="A36" s="5" t="s">
        <v>70</v>
      </c>
      <c r="B36" s="6" t="s">
        <v>71</v>
      </c>
      <c r="C36" s="6" t="s">
        <v>62</v>
      </c>
      <c r="D36" s="7" t="s">
        <v>73</v>
      </c>
    </row>
    <row r="37" spans="1:4" x14ac:dyDescent="0.25">
      <c r="A37" s="5" t="s">
        <v>70</v>
      </c>
      <c r="B37" s="6" t="s">
        <v>71</v>
      </c>
      <c r="C37" s="6" t="s">
        <v>74</v>
      </c>
      <c r="D37" s="7" t="s">
        <v>75</v>
      </c>
    </row>
    <row r="38" spans="1:4" x14ac:dyDescent="0.25">
      <c r="A38" s="5" t="s">
        <v>76</v>
      </c>
      <c r="B38" s="6" t="s">
        <v>77</v>
      </c>
      <c r="C38" s="6" t="s">
        <v>78</v>
      </c>
      <c r="D38" s="7" t="s">
        <v>79</v>
      </c>
    </row>
    <row r="39" spans="1:4" x14ac:dyDescent="0.25">
      <c r="A39" s="5" t="s">
        <v>76</v>
      </c>
      <c r="B39" s="6" t="s">
        <v>77</v>
      </c>
      <c r="C39" s="6" t="s">
        <v>80</v>
      </c>
      <c r="D39" s="7" t="s">
        <v>81</v>
      </c>
    </row>
    <row r="40" spans="1:4" x14ac:dyDescent="0.25">
      <c r="A40" s="5" t="s">
        <v>76</v>
      </c>
      <c r="B40" s="6" t="s">
        <v>77</v>
      </c>
      <c r="C40" s="6" t="s">
        <v>11</v>
      </c>
      <c r="D40" s="7" t="s">
        <v>82</v>
      </c>
    </row>
    <row r="41" spans="1:4" x14ac:dyDescent="0.25">
      <c r="A41" s="5" t="s">
        <v>83</v>
      </c>
      <c r="B41" s="6" t="s">
        <v>84</v>
      </c>
      <c r="C41" s="6" t="s">
        <v>9</v>
      </c>
      <c r="D41" s="7" t="s">
        <v>85</v>
      </c>
    </row>
    <row r="42" spans="1:4" x14ac:dyDescent="0.25">
      <c r="A42" s="5" t="s">
        <v>83</v>
      </c>
      <c r="B42" s="6" t="s">
        <v>84</v>
      </c>
      <c r="C42" s="6" t="s">
        <v>86</v>
      </c>
      <c r="D42" s="7" t="s">
        <v>87</v>
      </c>
    </row>
    <row r="43" spans="1:4" x14ac:dyDescent="0.25">
      <c r="A43" s="5" t="s">
        <v>83</v>
      </c>
      <c r="B43" s="6" t="s">
        <v>84</v>
      </c>
      <c r="C43" s="6" t="s">
        <v>88</v>
      </c>
      <c r="D43" s="7" t="s">
        <v>89</v>
      </c>
    </row>
    <row r="44" spans="1:4" x14ac:dyDescent="0.25">
      <c r="A44" s="5" t="s">
        <v>83</v>
      </c>
      <c r="B44" s="6" t="s">
        <v>84</v>
      </c>
      <c r="C44" s="6" t="s">
        <v>90</v>
      </c>
      <c r="D44" s="7" t="s">
        <v>91</v>
      </c>
    </row>
    <row r="45" spans="1:4" x14ac:dyDescent="0.25">
      <c r="A45" s="5" t="s">
        <v>83</v>
      </c>
      <c r="B45" s="6" t="s">
        <v>84</v>
      </c>
      <c r="C45" s="6" t="s">
        <v>11</v>
      </c>
      <c r="D45" s="7" t="s">
        <v>92</v>
      </c>
    </row>
    <row r="46" spans="1:4" x14ac:dyDescent="0.25">
      <c r="A46" s="5" t="s">
        <v>93</v>
      </c>
      <c r="B46" s="6" t="s">
        <v>94</v>
      </c>
      <c r="C46" s="6" t="s">
        <v>95</v>
      </c>
      <c r="D46" s="7" t="s">
        <v>96</v>
      </c>
    </row>
    <row r="47" spans="1:4" x14ac:dyDescent="0.25">
      <c r="A47" s="5" t="s">
        <v>93</v>
      </c>
      <c r="B47" s="6" t="s">
        <v>94</v>
      </c>
      <c r="C47" s="6" t="s">
        <v>9</v>
      </c>
      <c r="D47" s="7" t="s">
        <v>97</v>
      </c>
    </row>
    <row r="48" spans="1:4" x14ac:dyDescent="0.25">
      <c r="A48" s="5" t="s">
        <v>98</v>
      </c>
      <c r="B48" s="6" t="s">
        <v>99</v>
      </c>
      <c r="C48" s="6" t="s">
        <v>7</v>
      </c>
      <c r="D48" s="7" t="s">
        <v>100</v>
      </c>
    </row>
    <row r="49" spans="1:4" x14ac:dyDescent="0.25">
      <c r="A49" s="5" t="s">
        <v>98</v>
      </c>
      <c r="B49" s="6" t="s">
        <v>99</v>
      </c>
      <c r="C49" s="6" t="s">
        <v>9</v>
      </c>
      <c r="D49" s="7" t="s">
        <v>101</v>
      </c>
    </row>
    <row r="50" spans="1:4" x14ac:dyDescent="0.25">
      <c r="A50" s="5" t="s">
        <v>98</v>
      </c>
      <c r="B50" s="6" t="s">
        <v>99</v>
      </c>
      <c r="C50" s="6" t="s">
        <v>67</v>
      </c>
      <c r="D50" s="7" t="s">
        <v>102</v>
      </c>
    </row>
    <row r="51" spans="1:4" x14ac:dyDescent="0.25">
      <c r="A51" s="5" t="s">
        <v>98</v>
      </c>
      <c r="B51" s="6" t="s">
        <v>99</v>
      </c>
      <c r="C51" s="6" t="s">
        <v>11</v>
      </c>
      <c r="D51" s="7" t="s">
        <v>103</v>
      </c>
    </row>
    <row r="52" spans="1:4" x14ac:dyDescent="0.25">
      <c r="A52" s="5" t="s">
        <v>104</v>
      </c>
      <c r="B52" s="6" t="s">
        <v>105</v>
      </c>
      <c r="C52" s="6" t="s">
        <v>7</v>
      </c>
      <c r="D52" s="7" t="s">
        <v>106</v>
      </c>
    </row>
    <row r="53" spans="1:4" x14ac:dyDescent="0.25">
      <c r="A53" s="5" t="s">
        <v>104</v>
      </c>
      <c r="B53" s="6" t="s">
        <v>105</v>
      </c>
      <c r="C53" s="6" t="s">
        <v>107</v>
      </c>
      <c r="D53" s="7" t="s">
        <v>108</v>
      </c>
    </row>
    <row r="54" spans="1:4" x14ac:dyDescent="0.25">
      <c r="A54" s="5" t="s">
        <v>104</v>
      </c>
      <c r="B54" s="6" t="s">
        <v>105</v>
      </c>
      <c r="C54" s="6" t="s">
        <v>109</v>
      </c>
      <c r="D54" s="7" t="s">
        <v>110</v>
      </c>
    </row>
    <row r="55" spans="1:4" x14ac:dyDescent="0.25">
      <c r="A55" s="5" t="s">
        <v>104</v>
      </c>
      <c r="B55" s="6" t="s">
        <v>105</v>
      </c>
      <c r="C55" s="6" t="s">
        <v>111</v>
      </c>
      <c r="D55" s="7" t="s">
        <v>112</v>
      </c>
    </row>
    <row r="56" spans="1:4" x14ac:dyDescent="0.25">
      <c r="A56" s="5" t="s">
        <v>104</v>
      </c>
      <c r="B56" s="6" t="s">
        <v>105</v>
      </c>
      <c r="C56" s="6" t="s">
        <v>24</v>
      </c>
      <c r="D56" s="7" t="s">
        <v>113</v>
      </c>
    </row>
    <row r="57" spans="1:4" x14ac:dyDescent="0.25">
      <c r="A57" s="5" t="s">
        <v>104</v>
      </c>
      <c r="B57" s="6" t="s">
        <v>105</v>
      </c>
      <c r="C57" s="6" t="s">
        <v>67</v>
      </c>
      <c r="D57" s="7" t="s">
        <v>114</v>
      </c>
    </row>
    <row r="58" spans="1:4" x14ac:dyDescent="0.25">
      <c r="A58" s="5" t="s">
        <v>104</v>
      </c>
      <c r="B58" s="6" t="s">
        <v>105</v>
      </c>
      <c r="C58" s="6" t="s">
        <v>11</v>
      </c>
      <c r="D58" s="7" t="s">
        <v>115</v>
      </c>
    </row>
    <row r="59" spans="1:4" x14ac:dyDescent="0.25">
      <c r="A59" s="5" t="s">
        <v>116</v>
      </c>
      <c r="B59" s="6" t="s">
        <v>117</v>
      </c>
      <c r="C59" s="6" t="s">
        <v>7</v>
      </c>
      <c r="D59" s="7" t="s">
        <v>118</v>
      </c>
    </row>
    <row r="60" spans="1:4" x14ac:dyDescent="0.25">
      <c r="A60" s="5" t="s">
        <v>116</v>
      </c>
      <c r="B60" s="6" t="s">
        <v>117</v>
      </c>
      <c r="C60" s="6" t="s">
        <v>9</v>
      </c>
      <c r="D60" s="7" t="s">
        <v>119</v>
      </c>
    </row>
    <row r="61" spans="1:4" x14ac:dyDescent="0.25">
      <c r="A61" s="5" t="s">
        <v>116</v>
      </c>
      <c r="B61" s="6" t="s">
        <v>117</v>
      </c>
      <c r="C61" s="6" t="s">
        <v>11</v>
      </c>
      <c r="D61" s="7" t="s">
        <v>120</v>
      </c>
    </row>
  </sheetData>
  <autoFilter ref="A3:D61" xr:uid="{00000000-0009-0000-0000-000000000000}"/>
  <mergeCells count="1">
    <mergeCell ref="A1:D1"/>
  </mergeCells>
  <hyperlinks>
    <hyperlink ref="D4" r:id="rId1" location="'Swat-Overall%20Pass%20%25'!A1" xr:uid="{00000000-0004-0000-0000-000000000000}"/>
    <hyperlink ref="D5" r:id="rId2" location="'Swat-Group%20Wise%20Pass%20%25'!A1" xr:uid="{00000000-0004-0000-0000-000001000000}"/>
    <hyperlink ref="D6" r:id="rId3" location="'Swat-Subject%20Wise%20Pass%20%25'!A1" xr:uid="{00000000-0004-0000-0000-000002000000}"/>
    <hyperlink ref="D7" r:id="rId4" location="'Abbottabad-Group%20Wise%20Pass%20%25'!A1" xr:uid="{00000000-0004-0000-0000-000003000000}"/>
    <hyperlink ref="D8" r:id="rId5" location="'Abbottabad-Overall%20Pass%20%25'!A1" xr:uid="{00000000-0004-0000-0000-000004000000}"/>
    <hyperlink ref="D9" r:id="rId6" location="'Abbottabad-Subject%20Wise%20Pass%20%25'!A1" xr:uid="{00000000-0004-0000-0000-000005000000}"/>
    <hyperlink ref="D10" r:id="rId7" location="'Bahawalpur-General%20Pass%20Percent'!A1" xr:uid="{00000000-0004-0000-0000-000006000000}"/>
    <hyperlink ref="D11" r:id="rId8" location="'Bahawalpur-Result%20at%20a%20Glance'!A1" xr:uid="{00000000-0004-0000-0000-000007000000}"/>
    <hyperlink ref="D12" r:id="rId9" location="'Bahawalpur-District%20Wise%20Pass%20%25'!A1" xr:uid="{00000000-0004-0000-0000-000008000000}"/>
    <hyperlink ref="D13" r:id="rId10" location="'Bahawalpur-Subject%20Wise%20Pass%20%25'!A1" xr:uid="{00000000-0004-0000-0000-000009000000}"/>
    <hyperlink ref="D14" r:id="rId11" location="'Bannu-Result%20at%20a%20Glance'!A1" xr:uid="{00000000-0004-0000-0000-00000A000000}"/>
    <hyperlink ref="D15" r:id="rId12" location="'FSD-Overall%20Pass%20%25'!A1" xr:uid="{00000000-0004-0000-0000-00000B000000}"/>
    <hyperlink ref="D16" r:id="rId13" location="'FSD-District%20Wise%20Regular'!A1" xr:uid="{00000000-0004-0000-0000-00000C000000}"/>
    <hyperlink ref="D17" r:id="rId14" location="'FSD-District%20Wise%20Private'!A1" xr:uid="{00000000-0004-0000-0000-00000D000000}"/>
    <hyperlink ref="D18" r:id="rId15" location="'FSD-Overall%20Statistical%20Data'!A1" xr:uid="{00000000-0004-0000-0000-00000E000000}"/>
    <hyperlink ref="D19" r:id="rId16" location="'FSD-Subject%20Wise%20Pass%20%25%20(Regula'!A1" xr:uid="{00000000-0004-0000-0000-00000F000000}"/>
    <hyperlink ref="D20" r:id="rId17" location="'FSD-Subject%20Wise%20Pass%20%25%20(Privat'!A1" xr:uid="{00000000-0004-0000-0000-000010000000}"/>
    <hyperlink ref="D21" r:id="rId18" location="'Gujranwala-Overall%20Pass%20%25'!A1" xr:uid="{00000000-0004-0000-0000-000011000000}"/>
    <hyperlink ref="D22" r:id="rId19" location="'Gujranwala-Group%20Wise%20Pass%20%25'!A1" xr:uid="{00000000-0004-0000-0000-000012000000}"/>
    <hyperlink ref="D23" r:id="rId20" location="'Gujranwala-Tech%20Group%20Wise%20Pass'!A1" xr:uid="{00000000-0004-0000-0000-000013000000}"/>
    <hyperlink ref="D24" r:id="rId21" location="'Gujranwala-Subject%20Wise%20Pass%20%25'!A1" xr:uid="{00000000-0004-0000-0000-000014000000}"/>
    <hyperlink ref="D25" r:id="rId22" location="'Kohat-Science%20Group'!A1" xr:uid="{00000000-0004-0000-0000-000015000000}"/>
    <hyperlink ref="D26" r:id="rId23" location="'Kohat-General%20Group'!A1" xr:uid="{00000000-0004-0000-0000-000016000000}"/>
    <hyperlink ref="D27" r:id="rId24" location="'Kohat-Overall%20Result%20(9th+10th)'!A1" xr:uid="{00000000-0004-0000-0000-000017000000}"/>
    <hyperlink ref="D28" r:id="rId25" location="'Kohat-Subject%20Wise%20Pass%20%25'!A1" xr:uid="{00000000-0004-0000-0000-000018000000}"/>
    <hyperlink ref="D29" r:id="rId26" location="'Lahore-Science%20Group'!A1" xr:uid="{00000000-0004-0000-0000-000019000000}"/>
    <hyperlink ref="D30" r:id="rId27" location="'Lahore-Humanities%20Group'!A1" xr:uid="{00000000-0004-0000-0000-00001A000000}"/>
    <hyperlink ref="D31" r:id="rId28" location="'Lahore-Tech%20Group'!A1" xr:uid="{00000000-0004-0000-0000-00001B000000}"/>
    <hyperlink ref="D32" r:id="rId29" location="'Lahore-Overall%20Pass%20%25'!A1" xr:uid="{00000000-0004-0000-0000-00001C000000}"/>
    <hyperlink ref="D33" r:id="rId30" location="'Lahore-Statistical%20Data'!A1" xr:uid="{00000000-0004-0000-0000-00001D000000}"/>
    <hyperlink ref="D34" r:id="rId31" location="'Lahore-Subject%20Wise%20Pass%20%25'!A1" xr:uid="{00000000-0004-0000-0000-00001E000000}"/>
    <hyperlink ref="D35" r:id="rId32" location="'Mardan-Science%20Group'!A1" xr:uid="{00000000-0004-0000-0000-00001F000000}"/>
    <hyperlink ref="D36" r:id="rId33" location="'Mardan-Humanities%20Group'!A1" xr:uid="{00000000-0004-0000-0000-000020000000}"/>
    <hyperlink ref="D37" r:id="rId34" location="'Mardan-Overall%20Result'!A1" xr:uid="{00000000-0004-0000-0000-000021000000}"/>
    <hyperlink ref="D38" r:id="rId35" location="'Peshawar-Group%20Wise%20Distributio'!A1" xr:uid="{00000000-0004-0000-0000-000022000000}"/>
    <hyperlink ref="D39" r:id="rId36" location="'Peshawar-Gender%20Wise%20Result'!A1" xr:uid="{00000000-0004-0000-0000-000023000000}"/>
    <hyperlink ref="D40" r:id="rId37" location="'Peshawar-Subject%20Wise%20Pass%20%25'!A1" xr:uid="{00000000-0004-0000-0000-000024000000}"/>
    <hyperlink ref="D41" r:id="rId38" location="'Rawalpindi-Group%20Wise%20Pass%20%25'!A1" xr:uid="{00000000-0004-0000-0000-000025000000}"/>
    <hyperlink ref="D42" r:id="rId39" location="'Rawalpindi-Matric-Tech%20Group%20Pa'!A1" xr:uid="{00000000-0004-0000-0000-000026000000}"/>
    <hyperlink ref="D43" r:id="rId40" location="'Rawalpindi-Result%20Statistical%20D'!A1" xr:uid="{00000000-0004-0000-0000-000027000000}"/>
    <hyperlink ref="D44" r:id="rId41" location="'Rawalpindi-District%20Wise%20Perfor'!A1" xr:uid="{00000000-0004-0000-0000-000028000000}"/>
    <hyperlink ref="D45" r:id="rId42" location="'Rawalpindi-Subject%20Wise%20Pass%20%25'!A1" xr:uid="{00000000-0004-0000-0000-000029000000}"/>
    <hyperlink ref="D46" r:id="rId43" location="'Sahiwal-Overall%20Summary'!A1" xr:uid="{00000000-0004-0000-0000-00002A000000}"/>
    <hyperlink ref="D47" r:id="rId44" location="'Sahiwal-Group%20Wise%20Pass%20%25'!A1" xr:uid="{00000000-0004-0000-0000-00002B000000}"/>
    <hyperlink ref="D48" r:id="rId45" location="'Sargodha-Overall%20Pass%20%25'!A1" xr:uid="{00000000-0004-0000-0000-00002C000000}"/>
    <hyperlink ref="D49" r:id="rId46" location="'Sargodha-Group%20Wise%20Pass%20%25'!A1" xr:uid="{00000000-0004-0000-0000-00002D000000}"/>
    <hyperlink ref="D50" r:id="rId47" location="'Sargodha-Statistical%20Data'!A1" xr:uid="{00000000-0004-0000-0000-00002E000000}"/>
    <hyperlink ref="D51" r:id="rId48" location="'Sargodha-Subject%20Wise%20Pass%20%25'!A1" xr:uid="{00000000-0004-0000-0000-00002F000000}"/>
    <hyperlink ref="D52" r:id="rId49" location="'DGK-Overall%20Pass%20%25'!A1" xr:uid="{00000000-0004-0000-0000-000030000000}"/>
    <hyperlink ref="D53" r:id="rId50" location="'DGK-Group%20Wise%20Regular%20Private'!A1" xr:uid="{00000000-0004-0000-0000-000031000000}"/>
    <hyperlink ref="D54" r:id="rId51" location="'DGK-Group%20Wise%20Male%20Female'!A1" xr:uid="{00000000-0004-0000-0000-000032000000}"/>
    <hyperlink ref="D55" r:id="rId52" location="'DGK-Gender%20Wise%20Pass%20%25'!A1" xr:uid="{00000000-0004-0000-0000-000033000000}"/>
    <hyperlink ref="D56" r:id="rId53" location="'DGK-District%20Wise%20Pass%20%25'!A1" xr:uid="{00000000-0004-0000-0000-000034000000}"/>
    <hyperlink ref="D57" r:id="rId54" location="'DGK-Statistical%20Data'!A1" xr:uid="{00000000-0004-0000-0000-000035000000}"/>
    <hyperlink ref="D58" r:id="rId55" location="'DGK-Subject%20Wise%20Pass%20%25'!A1" xr:uid="{00000000-0004-0000-0000-000036000000}"/>
    <hyperlink ref="D59" r:id="rId56" location="'FBISE-Overall%20Pass%20%25'!A1" xr:uid="{00000000-0004-0000-0000-000037000000}"/>
    <hyperlink ref="D60" r:id="rId57" location="'FBISE-Group%20Wise%20Pass%20%25'!A1" xr:uid="{00000000-0004-0000-0000-000038000000}"/>
    <hyperlink ref="D61" r:id="rId58" location="'FBISE-Subject%20Wise%20Pass%20%25'!A1" xr:uid="{00000000-0004-0000-0000-00003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0" customWidth="1"/>
    <col min="3" max="5" width="14" customWidth="1"/>
  </cols>
  <sheetData>
    <row r="1" spans="1:5" ht="25.5" customHeight="1" x14ac:dyDescent="0.25">
      <c r="A1" s="8" t="s">
        <v>1</v>
      </c>
      <c r="B1" s="8" t="s">
        <v>121</v>
      </c>
      <c r="C1" s="8" t="s">
        <v>122</v>
      </c>
      <c r="D1" s="8" t="s">
        <v>123</v>
      </c>
      <c r="E1" s="8" t="s">
        <v>124</v>
      </c>
    </row>
    <row r="2" spans="1:5" x14ac:dyDescent="0.25">
      <c r="A2" s="9" t="s">
        <v>13</v>
      </c>
      <c r="B2" s="9">
        <v>2025</v>
      </c>
      <c r="C2" s="10">
        <v>73459</v>
      </c>
      <c r="D2" s="10">
        <v>43769</v>
      </c>
      <c r="E2" s="11">
        <v>0.60170000000000001</v>
      </c>
    </row>
    <row r="3" spans="1:5" x14ac:dyDescent="0.25">
      <c r="A3" s="12" t="s">
        <v>13</v>
      </c>
      <c r="B3" s="12">
        <v>2026</v>
      </c>
      <c r="C3" s="13">
        <v>72367</v>
      </c>
      <c r="D3" s="13">
        <v>46219</v>
      </c>
      <c r="E3" s="14">
        <v>0.64449999999999996</v>
      </c>
    </row>
    <row r="4" spans="1:5" x14ac:dyDescent="0.25">
      <c r="A4" s="15" t="s">
        <v>13</v>
      </c>
      <c r="B4" s="15" t="s">
        <v>125</v>
      </c>
      <c r="C4" s="16">
        <f>C3-C2</f>
        <v>-1092</v>
      </c>
      <c r="D4" s="16">
        <f>D3-D2</f>
        <v>2450</v>
      </c>
      <c r="E4" s="17">
        <f>E3-E2</f>
        <v>4.2799999999999949E-2</v>
      </c>
    </row>
    <row r="5" spans="1:5" x14ac:dyDescent="0.25">
      <c r="A5" s="9" t="s">
        <v>18</v>
      </c>
      <c r="B5" s="9">
        <v>2025</v>
      </c>
      <c r="C5" s="10">
        <v>110437</v>
      </c>
      <c r="D5" s="10">
        <v>47574</v>
      </c>
      <c r="E5" s="11">
        <v>0.43080000000000002</v>
      </c>
    </row>
    <row r="6" spans="1:5" x14ac:dyDescent="0.25">
      <c r="A6" s="12" t="s">
        <v>18</v>
      </c>
      <c r="B6" s="12">
        <v>2026</v>
      </c>
      <c r="C6" s="13">
        <v>105601</v>
      </c>
      <c r="D6" s="13">
        <v>40611</v>
      </c>
      <c r="E6" s="14">
        <v>0.3846</v>
      </c>
    </row>
    <row r="7" spans="1:5" x14ac:dyDescent="0.25">
      <c r="A7" s="15" t="s">
        <v>18</v>
      </c>
      <c r="B7" s="15" t="s">
        <v>125</v>
      </c>
      <c r="C7" s="16">
        <f>C6-C5</f>
        <v>-4836</v>
      </c>
      <c r="D7" s="16">
        <f>D6-D5</f>
        <v>-6963</v>
      </c>
      <c r="E7" s="17">
        <f>E6-E5</f>
        <v>-4.6200000000000019E-2</v>
      </c>
    </row>
    <row r="8" spans="1:5" x14ac:dyDescent="0.25">
      <c r="A8" s="9" t="s">
        <v>27</v>
      </c>
      <c r="B8" s="9">
        <v>2025</v>
      </c>
      <c r="C8" s="10">
        <v>30239</v>
      </c>
      <c r="D8" s="10">
        <v>20982</v>
      </c>
      <c r="E8" s="11">
        <v>0.69</v>
      </c>
    </row>
    <row r="9" spans="1:5" x14ac:dyDescent="0.25">
      <c r="A9" s="12" t="s">
        <v>27</v>
      </c>
      <c r="B9" s="12">
        <v>2026</v>
      </c>
      <c r="C9" s="13">
        <v>31028</v>
      </c>
      <c r="D9" s="13">
        <v>23635</v>
      </c>
      <c r="E9" s="14">
        <v>0.76</v>
      </c>
    </row>
    <row r="10" spans="1:5" x14ac:dyDescent="0.25">
      <c r="A10" s="15" t="s">
        <v>27</v>
      </c>
      <c r="B10" s="15" t="s">
        <v>125</v>
      </c>
      <c r="C10" s="16">
        <f>C9-C8</f>
        <v>789</v>
      </c>
      <c r="D10" s="16">
        <f>D9-D8</f>
        <v>2653</v>
      </c>
      <c r="E10" s="17">
        <f>E9-E8</f>
        <v>7.0000000000000062E-2</v>
      </c>
    </row>
    <row r="11" spans="1:5" x14ac:dyDescent="0.25">
      <c r="A11" s="9" t="s">
        <v>104</v>
      </c>
      <c r="B11" s="9">
        <v>2025</v>
      </c>
      <c r="C11" s="10">
        <v>105854</v>
      </c>
      <c r="D11" s="10">
        <v>60698</v>
      </c>
      <c r="E11" s="11">
        <v>0.57340000000000002</v>
      </c>
    </row>
    <row r="12" spans="1:5" x14ac:dyDescent="0.25">
      <c r="A12" s="12" t="s">
        <v>104</v>
      </c>
      <c r="B12" s="12">
        <v>2026</v>
      </c>
      <c r="C12" s="13">
        <v>106001</v>
      </c>
      <c r="D12" s="13">
        <v>51081</v>
      </c>
      <c r="E12" s="14">
        <v>0.4819</v>
      </c>
    </row>
    <row r="13" spans="1:5" x14ac:dyDescent="0.25">
      <c r="A13" s="15" t="s">
        <v>104</v>
      </c>
      <c r="B13" s="15" t="s">
        <v>125</v>
      </c>
      <c r="C13" s="16">
        <f>C12-C11</f>
        <v>147</v>
      </c>
      <c r="D13" s="16">
        <f>D12-D11</f>
        <v>-9617</v>
      </c>
      <c r="E13" s="17">
        <f>E12-E11</f>
        <v>-9.1500000000000026E-2</v>
      </c>
    </row>
    <row r="14" spans="1:5" x14ac:dyDescent="0.25">
      <c r="A14" s="9" t="s">
        <v>116</v>
      </c>
      <c r="B14" s="9">
        <v>2025</v>
      </c>
      <c r="C14" s="10">
        <v>144556</v>
      </c>
      <c r="D14" s="10">
        <v>89882</v>
      </c>
      <c r="E14" s="11">
        <v>0.62180000000000002</v>
      </c>
    </row>
    <row r="15" spans="1:5" x14ac:dyDescent="0.25">
      <c r="A15" s="12" t="s">
        <v>116</v>
      </c>
      <c r="B15" s="12">
        <v>2026</v>
      </c>
      <c r="C15" s="13">
        <v>148311</v>
      </c>
      <c r="D15" s="13">
        <v>88646</v>
      </c>
      <c r="E15" s="14">
        <v>0.59770000000000001</v>
      </c>
    </row>
    <row r="16" spans="1:5" x14ac:dyDescent="0.25">
      <c r="A16" s="15" t="s">
        <v>116</v>
      </c>
      <c r="B16" s="15" t="s">
        <v>125</v>
      </c>
      <c r="C16" s="16">
        <f>C15-C14</f>
        <v>3755</v>
      </c>
      <c r="D16" s="16">
        <f>D15-D14</f>
        <v>-1236</v>
      </c>
      <c r="E16" s="17">
        <f>E15-E14</f>
        <v>-2.410000000000001E-2</v>
      </c>
    </row>
    <row r="17" spans="1:5" x14ac:dyDescent="0.25">
      <c r="A17" s="9" t="s">
        <v>30</v>
      </c>
      <c r="B17" s="9">
        <v>2025</v>
      </c>
      <c r="C17" s="10">
        <v>205182</v>
      </c>
      <c r="D17" s="10">
        <v>105769</v>
      </c>
      <c r="E17" s="11">
        <v>0.51549999999999996</v>
      </c>
    </row>
    <row r="18" spans="1:5" x14ac:dyDescent="0.25">
      <c r="A18" s="12" t="s">
        <v>30</v>
      </c>
      <c r="B18" s="12">
        <v>2026</v>
      </c>
      <c r="C18" s="13">
        <v>196656</v>
      </c>
      <c r="D18" s="13">
        <v>100708</v>
      </c>
      <c r="E18" s="14">
        <v>0.5121</v>
      </c>
    </row>
    <row r="19" spans="1:5" x14ac:dyDescent="0.25">
      <c r="A19" s="15" t="s">
        <v>30</v>
      </c>
      <c r="B19" s="15" t="s">
        <v>125</v>
      </c>
      <c r="C19" s="16">
        <f>C18-C17</f>
        <v>-8526</v>
      </c>
      <c r="D19" s="16">
        <f>D18-D17</f>
        <v>-5061</v>
      </c>
      <c r="E19" s="17">
        <f>E18-E17</f>
        <v>-3.3999999999999586E-3</v>
      </c>
    </row>
    <row r="20" spans="1:5" x14ac:dyDescent="0.25">
      <c r="A20" s="9" t="s">
        <v>43</v>
      </c>
      <c r="B20" s="9">
        <v>2025</v>
      </c>
      <c r="C20" s="10">
        <v>271463</v>
      </c>
      <c r="D20" s="10">
        <v>134034</v>
      </c>
      <c r="E20" s="11">
        <v>0.49370000000000003</v>
      </c>
    </row>
    <row r="21" spans="1:5" x14ac:dyDescent="0.25">
      <c r="A21" s="12" t="s">
        <v>43</v>
      </c>
      <c r="B21" s="12">
        <v>2026</v>
      </c>
      <c r="C21" s="13">
        <v>249352</v>
      </c>
      <c r="D21" s="13">
        <v>115966</v>
      </c>
      <c r="E21" s="14">
        <v>0.46510000000000001</v>
      </c>
    </row>
    <row r="22" spans="1:5" x14ac:dyDescent="0.25">
      <c r="A22" s="15" t="s">
        <v>43</v>
      </c>
      <c r="B22" s="15" t="s">
        <v>125</v>
      </c>
      <c r="C22" s="16">
        <f>C21-C20</f>
        <v>-22111</v>
      </c>
      <c r="D22" s="16">
        <f>D21-D20</f>
        <v>-18068</v>
      </c>
      <c r="E22" s="17">
        <f>E21-E20</f>
        <v>-2.8600000000000014E-2</v>
      </c>
    </row>
    <row r="23" spans="1:5" x14ac:dyDescent="0.25">
      <c r="A23" s="9" t="s">
        <v>50</v>
      </c>
      <c r="B23" s="9">
        <v>2025</v>
      </c>
      <c r="C23" s="10">
        <v>51759</v>
      </c>
      <c r="D23" s="10">
        <v>21489</v>
      </c>
      <c r="E23" s="11">
        <v>0.41520000000000001</v>
      </c>
    </row>
    <row r="24" spans="1:5" x14ac:dyDescent="0.25">
      <c r="A24" s="12" t="s">
        <v>50</v>
      </c>
      <c r="B24" s="12">
        <v>2026</v>
      </c>
      <c r="C24" s="13">
        <v>45936</v>
      </c>
      <c r="D24" s="13">
        <v>14019</v>
      </c>
      <c r="E24" s="14">
        <v>0.30520000000000003</v>
      </c>
    </row>
    <row r="25" spans="1:5" x14ac:dyDescent="0.25">
      <c r="A25" s="15" t="s">
        <v>50</v>
      </c>
      <c r="B25" s="15" t="s">
        <v>125</v>
      </c>
      <c r="C25" s="16">
        <f>C24-C23</f>
        <v>-5823</v>
      </c>
      <c r="D25" s="16">
        <f>D24-D23</f>
        <v>-7470</v>
      </c>
      <c r="E25" s="17">
        <f>E24-E23</f>
        <v>-0.10999999999999999</v>
      </c>
    </row>
    <row r="26" spans="1:5" x14ac:dyDescent="0.25">
      <c r="A26" s="9" t="s">
        <v>59</v>
      </c>
      <c r="B26" s="9">
        <v>2025</v>
      </c>
      <c r="C26" s="10">
        <v>308073</v>
      </c>
      <c r="D26" s="10">
        <v>138894</v>
      </c>
      <c r="E26" s="11">
        <v>0.45079999999999998</v>
      </c>
    </row>
    <row r="27" spans="1:5" x14ac:dyDescent="0.25">
      <c r="A27" s="12" t="s">
        <v>59</v>
      </c>
      <c r="B27" s="12">
        <v>2026</v>
      </c>
      <c r="C27" s="13">
        <v>280676</v>
      </c>
      <c r="D27" s="13">
        <v>130543</v>
      </c>
      <c r="E27" s="14">
        <v>0.46510000000000001</v>
      </c>
    </row>
    <row r="28" spans="1:5" x14ac:dyDescent="0.25">
      <c r="A28" s="15" t="s">
        <v>59</v>
      </c>
      <c r="B28" s="15" t="s">
        <v>125</v>
      </c>
      <c r="C28" s="16">
        <f>C27-C26</f>
        <v>-27397</v>
      </c>
      <c r="D28" s="16">
        <f>D27-D26</f>
        <v>-8351</v>
      </c>
      <c r="E28" s="17">
        <f>E27-E26</f>
        <v>1.4300000000000035E-2</v>
      </c>
    </row>
    <row r="29" spans="1:5" x14ac:dyDescent="0.25">
      <c r="A29" s="9" t="s">
        <v>70</v>
      </c>
      <c r="B29" s="9">
        <v>2025</v>
      </c>
      <c r="C29" s="10">
        <v>82666</v>
      </c>
      <c r="D29" s="10">
        <v>82002</v>
      </c>
      <c r="E29" s="11">
        <v>0.99199999999999999</v>
      </c>
    </row>
    <row r="30" spans="1:5" x14ac:dyDescent="0.25">
      <c r="A30" s="12" t="s">
        <v>70</v>
      </c>
      <c r="B30" s="12">
        <v>2026</v>
      </c>
      <c r="C30" s="13">
        <v>82465</v>
      </c>
      <c r="D30" s="13">
        <v>81769</v>
      </c>
      <c r="E30" s="14">
        <v>0.99160000000000004</v>
      </c>
    </row>
    <row r="31" spans="1:5" x14ac:dyDescent="0.25">
      <c r="A31" s="15" t="s">
        <v>70</v>
      </c>
      <c r="B31" s="15" t="s">
        <v>125</v>
      </c>
      <c r="C31" s="16">
        <f>C30-C29</f>
        <v>-201</v>
      </c>
      <c r="D31" s="16">
        <f>D30-D29</f>
        <v>-233</v>
      </c>
      <c r="E31" s="17">
        <f>E30-E29</f>
        <v>-3.9999999999995595E-4</v>
      </c>
    </row>
    <row r="32" spans="1:5" x14ac:dyDescent="0.25">
      <c r="A32" s="9" t="s">
        <v>76</v>
      </c>
      <c r="B32" s="9">
        <v>2025</v>
      </c>
      <c r="C32" s="10">
        <v>101888</v>
      </c>
      <c r="D32" s="10">
        <v>100660</v>
      </c>
      <c r="E32" s="11">
        <v>0.98799999999999999</v>
      </c>
    </row>
    <row r="33" spans="1:5" x14ac:dyDescent="0.25">
      <c r="A33" s="12" t="s">
        <v>76</v>
      </c>
      <c r="B33" s="12">
        <v>2026</v>
      </c>
      <c r="C33" s="13">
        <v>97950</v>
      </c>
      <c r="D33" s="13">
        <v>96950</v>
      </c>
      <c r="E33" s="14">
        <v>0.98980000000000001</v>
      </c>
    </row>
    <row r="34" spans="1:5" x14ac:dyDescent="0.25">
      <c r="A34" s="15" t="s">
        <v>76</v>
      </c>
      <c r="B34" s="15" t="s">
        <v>125</v>
      </c>
      <c r="C34" s="16">
        <f>C33-C32</f>
        <v>-3938</v>
      </c>
      <c r="D34" s="16">
        <f>D33-D32</f>
        <v>-3710</v>
      </c>
      <c r="E34" s="17">
        <f>E33-E32</f>
        <v>1.8000000000000238E-3</v>
      </c>
    </row>
    <row r="35" spans="1:5" x14ac:dyDescent="0.25">
      <c r="A35" s="9" t="s">
        <v>83</v>
      </c>
      <c r="B35" s="9">
        <v>2025</v>
      </c>
      <c r="C35" s="10">
        <v>125989</v>
      </c>
      <c r="D35" s="10">
        <v>53657</v>
      </c>
      <c r="E35" s="11">
        <v>0.42599999999999999</v>
      </c>
    </row>
    <row r="36" spans="1:5" x14ac:dyDescent="0.25">
      <c r="A36" s="12" t="s">
        <v>83</v>
      </c>
      <c r="B36" s="12">
        <v>2026</v>
      </c>
      <c r="C36" s="13">
        <v>121739</v>
      </c>
      <c r="D36" s="13">
        <v>45724</v>
      </c>
      <c r="E36" s="14">
        <v>0.37559999999999999</v>
      </c>
    </row>
    <row r="37" spans="1:5" x14ac:dyDescent="0.25">
      <c r="A37" s="15" t="s">
        <v>83</v>
      </c>
      <c r="B37" s="15" t="s">
        <v>125</v>
      </c>
      <c r="C37" s="16">
        <f>C36-C35</f>
        <v>-4250</v>
      </c>
      <c r="D37" s="16">
        <f>D36-D35</f>
        <v>-7933</v>
      </c>
      <c r="E37" s="17">
        <f>E36-E35</f>
        <v>-5.04E-2</v>
      </c>
    </row>
    <row r="38" spans="1:5" x14ac:dyDescent="0.25">
      <c r="A38" s="9" t="s">
        <v>93</v>
      </c>
      <c r="B38" s="9">
        <v>2025</v>
      </c>
      <c r="C38" s="10">
        <v>96034</v>
      </c>
      <c r="D38" s="10">
        <v>44250</v>
      </c>
      <c r="E38" s="11">
        <v>0.46079999999999999</v>
      </c>
    </row>
    <row r="39" spans="1:5" x14ac:dyDescent="0.25">
      <c r="A39" s="12" t="s">
        <v>93</v>
      </c>
      <c r="B39" s="12">
        <v>2026</v>
      </c>
      <c r="C39" s="13">
        <v>87093</v>
      </c>
      <c r="D39" s="13">
        <v>37803</v>
      </c>
      <c r="E39" s="14">
        <v>0.43409999999999999</v>
      </c>
    </row>
    <row r="40" spans="1:5" x14ac:dyDescent="0.25">
      <c r="A40" s="15" t="s">
        <v>93</v>
      </c>
      <c r="B40" s="15" t="s">
        <v>125</v>
      </c>
      <c r="C40" s="16">
        <f>C39-C38</f>
        <v>-8941</v>
      </c>
      <c r="D40" s="16">
        <f>D39-D38</f>
        <v>-6447</v>
      </c>
      <c r="E40" s="17">
        <f>E39-E38</f>
        <v>-2.6700000000000002E-2</v>
      </c>
    </row>
    <row r="41" spans="1:5" x14ac:dyDescent="0.25">
      <c r="A41" s="9" t="s">
        <v>98</v>
      </c>
      <c r="B41" s="9">
        <v>2025</v>
      </c>
      <c r="C41" s="10">
        <v>112492</v>
      </c>
      <c r="D41" s="10">
        <v>52166</v>
      </c>
      <c r="E41" s="11">
        <v>0.4637</v>
      </c>
    </row>
    <row r="42" spans="1:5" x14ac:dyDescent="0.25">
      <c r="A42" s="12" t="s">
        <v>98</v>
      </c>
      <c r="B42" s="12">
        <v>2026</v>
      </c>
      <c r="C42" s="13">
        <v>107782</v>
      </c>
      <c r="D42" s="13">
        <v>45925</v>
      </c>
      <c r="E42" s="14">
        <v>0.42609999999999998</v>
      </c>
    </row>
    <row r="43" spans="1:5" x14ac:dyDescent="0.25">
      <c r="A43" s="15" t="s">
        <v>98</v>
      </c>
      <c r="B43" s="15" t="s">
        <v>125</v>
      </c>
      <c r="C43" s="16">
        <f>C42-C41</f>
        <v>-4710</v>
      </c>
      <c r="D43" s="16">
        <f>D42-D41</f>
        <v>-6241</v>
      </c>
      <c r="E43" s="17">
        <f>E42-E41</f>
        <v>-3.7600000000000022E-2</v>
      </c>
    </row>
    <row r="44" spans="1:5" x14ac:dyDescent="0.25">
      <c r="A44" s="18" t="s">
        <v>5</v>
      </c>
      <c r="B44" s="18">
        <v>2025</v>
      </c>
      <c r="C44" s="18" t="s">
        <v>126</v>
      </c>
      <c r="D44" s="18" t="s">
        <v>126</v>
      </c>
      <c r="E44" s="18" t="s">
        <v>126</v>
      </c>
    </row>
    <row r="45" spans="1:5" x14ac:dyDescent="0.25">
      <c r="A45" s="12" t="s">
        <v>5</v>
      </c>
      <c r="B45" s="12">
        <v>2026</v>
      </c>
      <c r="C45" s="13">
        <v>50045</v>
      </c>
      <c r="D45" s="13">
        <v>24808</v>
      </c>
      <c r="E45" s="14">
        <v>0.49569999999999997</v>
      </c>
    </row>
    <row r="46" spans="1:5" x14ac:dyDescent="0.25">
      <c r="A46" s="18" t="s">
        <v>5</v>
      </c>
      <c r="B46" s="18" t="s">
        <v>125</v>
      </c>
      <c r="C46" s="18" t="s">
        <v>127</v>
      </c>
      <c r="D46" s="18"/>
      <c r="E46" s="18"/>
    </row>
  </sheetData>
  <autoFilter ref="A1:E4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0" customWidth="1"/>
    <col min="3" max="3" width="18" customWidth="1"/>
    <col min="4" max="4" width="16" customWidth="1"/>
  </cols>
  <sheetData>
    <row r="1" spans="1:4" ht="26.25" customHeight="1" x14ac:dyDescent="0.25">
      <c r="A1" s="19" t="s">
        <v>121</v>
      </c>
      <c r="B1" s="19" t="s">
        <v>128</v>
      </c>
      <c r="C1" s="19" t="s">
        <v>129</v>
      </c>
      <c r="D1" s="19" t="s">
        <v>7</v>
      </c>
    </row>
    <row r="2" spans="1:4" ht="15" customHeight="1" x14ac:dyDescent="0.25">
      <c r="A2" s="20">
        <v>2026</v>
      </c>
      <c r="B2" s="20">
        <v>50045</v>
      </c>
      <c r="C2" s="20">
        <v>24808</v>
      </c>
      <c r="D2" s="21">
        <v>49.57</v>
      </c>
    </row>
  </sheetData>
  <autoFilter ref="A1:D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8" customWidth="1"/>
    <col min="3" max="3" width="16" customWidth="1"/>
    <col min="4" max="4" width="11" customWidth="1"/>
    <col min="5" max="5" width="10" customWidth="1"/>
    <col min="7" max="7" width="7" customWidth="1"/>
  </cols>
  <sheetData>
    <row r="1" spans="1:12" ht="15" customHeight="1" x14ac:dyDescent="0.25">
      <c r="A1" s="19" t="s">
        <v>121</v>
      </c>
      <c r="B1" s="19" t="s">
        <v>130</v>
      </c>
      <c r="C1" s="19" t="s">
        <v>131</v>
      </c>
      <c r="D1" s="19" t="s">
        <v>122</v>
      </c>
      <c r="E1" s="19" t="s">
        <v>123</v>
      </c>
      <c r="F1" s="19" t="s">
        <v>132</v>
      </c>
      <c r="G1" s="19" t="s">
        <v>133</v>
      </c>
      <c r="H1" s="19" t="s">
        <v>134</v>
      </c>
      <c r="I1" s="19" t="s">
        <v>135</v>
      </c>
      <c r="J1" s="19" t="s">
        <v>136</v>
      </c>
      <c r="K1" s="19" t="s">
        <v>137</v>
      </c>
      <c r="L1" s="19" t="s">
        <v>138</v>
      </c>
    </row>
    <row r="2" spans="1:12" ht="15" customHeight="1" x14ac:dyDescent="0.25">
      <c r="A2" s="20">
        <v>2026</v>
      </c>
      <c r="B2" s="20" t="s">
        <v>52</v>
      </c>
      <c r="C2" s="20" t="s">
        <v>139</v>
      </c>
      <c r="D2" s="20">
        <v>31156</v>
      </c>
      <c r="E2" s="20">
        <v>14354</v>
      </c>
      <c r="F2" s="21">
        <v>46.07</v>
      </c>
      <c r="G2" s="20">
        <v>3650</v>
      </c>
      <c r="H2" s="20">
        <v>4233</v>
      </c>
      <c r="I2" s="20">
        <v>4314</v>
      </c>
      <c r="J2" s="20">
        <v>2006</v>
      </c>
      <c r="K2" s="20">
        <v>151</v>
      </c>
      <c r="L2" s="20">
        <v>0</v>
      </c>
    </row>
    <row r="3" spans="1:12" ht="15" customHeight="1" x14ac:dyDescent="0.25">
      <c r="A3" s="20">
        <v>2026</v>
      </c>
      <c r="B3" s="20" t="s">
        <v>52</v>
      </c>
      <c r="C3" s="20" t="s">
        <v>140</v>
      </c>
      <c r="D3" s="20">
        <v>6</v>
      </c>
      <c r="E3" s="20">
        <v>2</v>
      </c>
      <c r="F3" s="21">
        <v>33.33</v>
      </c>
      <c r="G3" s="20">
        <v>1</v>
      </c>
      <c r="H3" s="20">
        <v>0</v>
      </c>
      <c r="I3" s="20">
        <v>1</v>
      </c>
      <c r="J3" s="20">
        <v>0</v>
      </c>
      <c r="K3" s="20">
        <v>0</v>
      </c>
      <c r="L3" s="20">
        <v>0</v>
      </c>
    </row>
    <row r="4" spans="1:12" ht="15" customHeight="1" x14ac:dyDescent="0.25">
      <c r="A4" s="20">
        <v>2026</v>
      </c>
      <c r="B4" s="20" t="s">
        <v>52</v>
      </c>
      <c r="C4" s="20" t="s">
        <v>141</v>
      </c>
      <c r="D4" s="20">
        <v>14679</v>
      </c>
      <c r="E4" s="20">
        <v>9414</v>
      </c>
      <c r="F4" s="21">
        <v>64.13</v>
      </c>
      <c r="G4" s="20">
        <v>2809</v>
      </c>
      <c r="H4" s="20">
        <v>3295</v>
      </c>
      <c r="I4" s="20">
        <v>2522</v>
      </c>
      <c r="J4" s="20">
        <v>758</v>
      </c>
      <c r="K4" s="20">
        <v>30</v>
      </c>
      <c r="L4" s="20">
        <v>0</v>
      </c>
    </row>
    <row r="5" spans="1:12" ht="15" customHeight="1" x14ac:dyDescent="0.25">
      <c r="A5" s="20">
        <v>2026</v>
      </c>
      <c r="B5" s="20" t="s">
        <v>52</v>
      </c>
      <c r="C5" s="20" t="s">
        <v>142</v>
      </c>
      <c r="D5" s="20">
        <v>1</v>
      </c>
      <c r="E5" s="20">
        <v>1</v>
      </c>
      <c r="F5" s="21">
        <v>100</v>
      </c>
      <c r="G5" s="20">
        <v>0</v>
      </c>
      <c r="H5" s="20">
        <v>0</v>
      </c>
      <c r="I5" s="20">
        <v>0</v>
      </c>
      <c r="J5" s="20">
        <v>1</v>
      </c>
      <c r="K5" s="20">
        <v>0</v>
      </c>
      <c r="L5" s="20">
        <v>0</v>
      </c>
    </row>
    <row r="6" spans="1:12" ht="15" customHeight="1" x14ac:dyDescent="0.25">
      <c r="A6" s="22">
        <v>2026</v>
      </c>
      <c r="B6" s="22" t="s">
        <v>52</v>
      </c>
      <c r="C6" s="22" t="s">
        <v>143</v>
      </c>
      <c r="D6" s="22">
        <v>45842</v>
      </c>
      <c r="E6" s="22">
        <v>23771</v>
      </c>
      <c r="F6" s="23">
        <v>51.85</v>
      </c>
      <c r="G6" s="22">
        <v>6460</v>
      </c>
      <c r="H6" s="22">
        <v>7528</v>
      </c>
      <c r="I6" s="22">
        <v>6837</v>
      </c>
      <c r="J6" s="22">
        <v>2765</v>
      </c>
      <c r="K6" s="22">
        <v>181</v>
      </c>
      <c r="L6" s="22">
        <v>0</v>
      </c>
    </row>
    <row r="7" spans="1:12" ht="15" customHeight="1" x14ac:dyDescent="0.25">
      <c r="A7" s="20">
        <v>2026</v>
      </c>
      <c r="B7" s="20" t="s">
        <v>62</v>
      </c>
      <c r="C7" s="20" t="s">
        <v>139</v>
      </c>
      <c r="D7" s="20">
        <v>1018</v>
      </c>
      <c r="E7" s="20">
        <v>113</v>
      </c>
      <c r="F7" s="21">
        <v>11.1</v>
      </c>
      <c r="G7" s="20">
        <v>9</v>
      </c>
      <c r="H7" s="20">
        <v>4</v>
      </c>
      <c r="I7" s="20">
        <v>33</v>
      </c>
      <c r="J7" s="20">
        <v>51</v>
      </c>
      <c r="K7" s="20">
        <v>16</v>
      </c>
      <c r="L7" s="20">
        <v>0</v>
      </c>
    </row>
    <row r="8" spans="1:12" ht="15" customHeight="1" x14ac:dyDescent="0.25">
      <c r="A8" s="20">
        <v>2026</v>
      </c>
      <c r="B8" s="20" t="s">
        <v>62</v>
      </c>
      <c r="C8" s="20" t="s">
        <v>140</v>
      </c>
      <c r="D8" s="20">
        <v>1619</v>
      </c>
      <c r="E8" s="20">
        <v>268</v>
      </c>
      <c r="F8" s="21">
        <v>16.55</v>
      </c>
      <c r="G8" s="20">
        <v>14</v>
      </c>
      <c r="H8" s="20">
        <v>58</v>
      </c>
      <c r="I8" s="20">
        <v>91</v>
      </c>
      <c r="J8" s="20">
        <v>92</v>
      </c>
      <c r="K8" s="20">
        <v>13</v>
      </c>
      <c r="L8" s="20">
        <v>0</v>
      </c>
    </row>
    <row r="9" spans="1:12" ht="15" customHeight="1" x14ac:dyDescent="0.25">
      <c r="A9" s="20">
        <v>2026</v>
      </c>
      <c r="B9" s="20" t="s">
        <v>62</v>
      </c>
      <c r="C9" s="20" t="s">
        <v>141</v>
      </c>
      <c r="D9" s="20">
        <v>898</v>
      </c>
      <c r="E9" s="20">
        <v>327</v>
      </c>
      <c r="F9" s="21">
        <v>36.409999999999997</v>
      </c>
      <c r="G9" s="20">
        <v>25</v>
      </c>
      <c r="H9" s="20">
        <v>90</v>
      </c>
      <c r="I9" s="20">
        <v>128</v>
      </c>
      <c r="J9" s="20">
        <v>75</v>
      </c>
      <c r="K9" s="20">
        <v>9</v>
      </c>
      <c r="L9" s="20">
        <v>0</v>
      </c>
    </row>
    <row r="10" spans="1:12" ht="15" customHeight="1" x14ac:dyDescent="0.25">
      <c r="A10" s="20">
        <v>2026</v>
      </c>
      <c r="B10" s="20" t="s">
        <v>62</v>
      </c>
      <c r="C10" s="20" t="s">
        <v>142</v>
      </c>
      <c r="D10" s="20">
        <v>668</v>
      </c>
      <c r="E10" s="20">
        <v>329</v>
      </c>
      <c r="F10" s="21">
        <v>49.25</v>
      </c>
      <c r="G10" s="20">
        <v>17</v>
      </c>
      <c r="H10" s="20">
        <v>125</v>
      </c>
      <c r="I10" s="20">
        <v>130</v>
      </c>
      <c r="J10" s="20">
        <v>54</v>
      </c>
      <c r="K10" s="20">
        <v>3</v>
      </c>
      <c r="L10" s="20">
        <v>0</v>
      </c>
    </row>
    <row r="11" spans="1:12" ht="15" customHeight="1" x14ac:dyDescent="0.25">
      <c r="A11" s="22">
        <v>2026</v>
      </c>
      <c r="B11" s="22" t="s">
        <v>62</v>
      </c>
      <c r="C11" s="22" t="s">
        <v>143</v>
      </c>
      <c r="D11" s="22">
        <v>4203</v>
      </c>
      <c r="E11" s="22">
        <v>1037</v>
      </c>
      <c r="F11" s="23">
        <v>24.67</v>
      </c>
      <c r="G11" s="22">
        <v>65</v>
      </c>
      <c r="H11" s="22">
        <v>277</v>
      </c>
      <c r="I11" s="22">
        <v>382</v>
      </c>
      <c r="J11" s="22">
        <v>272</v>
      </c>
      <c r="K11" s="22">
        <v>41</v>
      </c>
      <c r="L11" s="22">
        <v>0</v>
      </c>
    </row>
    <row r="12" spans="1:12" ht="15" customHeight="1" x14ac:dyDescent="0.25">
      <c r="A12" s="22">
        <v>2026</v>
      </c>
      <c r="B12" s="22" t="s">
        <v>144</v>
      </c>
      <c r="C12" s="22" t="s">
        <v>144</v>
      </c>
      <c r="D12" s="22">
        <v>50045</v>
      </c>
      <c r="E12" s="22">
        <v>24808</v>
      </c>
      <c r="F12" s="23">
        <v>49.57</v>
      </c>
      <c r="G12" s="22">
        <v>6525</v>
      </c>
      <c r="H12" s="22">
        <v>7805</v>
      </c>
      <c r="I12" s="22">
        <v>7219</v>
      </c>
      <c r="J12" s="22">
        <v>3037</v>
      </c>
      <c r="K12" s="22">
        <v>222</v>
      </c>
      <c r="L12" s="22">
        <v>0</v>
      </c>
    </row>
  </sheetData>
  <autoFilter ref="A1:L1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30" customWidth="1"/>
    <col min="3" max="3" width="14" customWidth="1"/>
    <col min="4" max="4" width="11" customWidth="1"/>
    <col min="5" max="5" width="10" customWidth="1"/>
  </cols>
  <sheetData>
    <row r="1" spans="1:6" ht="26.25" customHeight="1" x14ac:dyDescent="0.25">
      <c r="A1" s="19" t="s">
        <v>121</v>
      </c>
      <c r="B1" s="19" t="s">
        <v>145</v>
      </c>
      <c r="C1" s="19" t="s">
        <v>146</v>
      </c>
      <c r="D1" s="19" t="s">
        <v>122</v>
      </c>
      <c r="E1" s="19" t="s">
        <v>123</v>
      </c>
      <c r="F1" s="19" t="s">
        <v>132</v>
      </c>
    </row>
    <row r="2" spans="1:6" ht="15" customHeight="1" x14ac:dyDescent="0.25">
      <c r="A2" s="20">
        <v>2026</v>
      </c>
      <c r="B2" s="20" t="s">
        <v>147</v>
      </c>
      <c r="C2" s="20" t="s">
        <v>148</v>
      </c>
      <c r="D2" s="20">
        <v>273</v>
      </c>
      <c r="E2" s="20">
        <v>250</v>
      </c>
      <c r="F2" s="21">
        <v>91.58</v>
      </c>
    </row>
    <row r="3" spans="1:6" ht="15" customHeight="1" x14ac:dyDescent="0.25">
      <c r="A3" s="20">
        <v>2026</v>
      </c>
      <c r="B3" s="20" t="s">
        <v>149</v>
      </c>
      <c r="C3" s="20" t="s">
        <v>150</v>
      </c>
      <c r="D3" s="20">
        <v>172</v>
      </c>
      <c r="E3" s="20">
        <v>169</v>
      </c>
      <c r="F3" s="21">
        <v>98.26</v>
      </c>
    </row>
    <row r="4" spans="1:6" ht="15" customHeight="1" x14ac:dyDescent="0.25">
      <c r="A4" s="20">
        <v>2026</v>
      </c>
      <c r="B4" s="20" t="s">
        <v>151</v>
      </c>
      <c r="C4" s="20" t="s">
        <v>152</v>
      </c>
      <c r="D4" s="20">
        <v>46037</v>
      </c>
      <c r="E4" s="20">
        <v>36786</v>
      </c>
      <c r="F4" s="21">
        <v>79.91</v>
      </c>
    </row>
    <row r="5" spans="1:6" ht="15" customHeight="1" x14ac:dyDescent="0.25">
      <c r="A5" s="20">
        <v>2026</v>
      </c>
      <c r="B5" s="20" t="s">
        <v>153</v>
      </c>
      <c r="C5" s="20" t="s">
        <v>154</v>
      </c>
      <c r="D5" s="20">
        <v>47541</v>
      </c>
      <c r="E5" s="20">
        <v>35143</v>
      </c>
      <c r="F5" s="21">
        <v>73.92</v>
      </c>
    </row>
    <row r="6" spans="1:6" ht="15" customHeight="1" x14ac:dyDescent="0.25">
      <c r="A6" s="20">
        <v>2026</v>
      </c>
      <c r="B6" s="20" t="s">
        <v>155</v>
      </c>
      <c r="C6" s="20" t="s">
        <v>156</v>
      </c>
      <c r="D6" s="20">
        <v>764</v>
      </c>
      <c r="E6" s="20">
        <v>658</v>
      </c>
      <c r="F6" s="21">
        <v>86.13</v>
      </c>
    </row>
    <row r="7" spans="1:6" ht="15" customHeight="1" x14ac:dyDescent="0.25">
      <c r="A7" s="20">
        <v>2026</v>
      </c>
      <c r="B7" s="20" t="s">
        <v>157</v>
      </c>
      <c r="C7" s="20" t="s">
        <v>158</v>
      </c>
      <c r="D7" s="20">
        <v>749</v>
      </c>
      <c r="E7" s="20">
        <v>615</v>
      </c>
      <c r="F7" s="21">
        <v>82.11</v>
      </c>
    </row>
    <row r="8" spans="1:6" ht="15" customHeight="1" x14ac:dyDescent="0.25">
      <c r="A8" s="20">
        <v>2026</v>
      </c>
      <c r="B8" s="20" t="s">
        <v>159</v>
      </c>
      <c r="C8" s="20" t="s">
        <v>160</v>
      </c>
      <c r="D8" s="20">
        <v>179</v>
      </c>
      <c r="E8" s="20">
        <v>159</v>
      </c>
      <c r="F8" s="21">
        <v>88.83</v>
      </c>
    </row>
    <row r="9" spans="1:6" ht="15" customHeight="1" x14ac:dyDescent="0.25">
      <c r="A9" s="20">
        <v>2026</v>
      </c>
      <c r="B9" s="20" t="s">
        <v>161</v>
      </c>
      <c r="C9" s="20" t="s">
        <v>162</v>
      </c>
      <c r="D9" s="20">
        <v>2</v>
      </c>
      <c r="E9" s="20">
        <v>2</v>
      </c>
      <c r="F9" s="21">
        <v>100</v>
      </c>
    </row>
    <row r="10" spans="1:6" ht="15" customHeight="1" x14ac:dyDescent="0.25">
      <c r="A10" s="20">
        <v>2026</v>
      </c>
      <c r="B10" s="20" t="s">
        <v>163</v>
      </c>
      <c r="C10" s="20" t="s">
        <v>164</v>
      </c>
      <c r="D10" s="20">
        <v>52627</v>
      </c>
      <c r="E10" s="20">
        <v>49553</v>
      </c>
      <c r="F10" s="21">
        <v>94.16</v>
      </c>
    </row>
    <row r="11" spans="1:6" ht="15" customHeight="1" x14ac:dyDescent="0.25">
      <c r="A11" s="20">
        <v>2026</v>
      </c>
      <c r="B11" s="20" t="s">
        <v>165</v>
      </c>
      <c r="C11" s="20" t="s">
        <v>166</v>
      </c>
      <c r="D11" s="20">
        <v>28</v>
      </c>
      <c r="E11" s="20">
        <v>27</v>
      </c>
      <c r="F11" s="21">
        <v>96.43</v>
      </c>
    </row>
    <row r="12" spans="1:6" ht="15" customHeight="1" x14ac:dyDescent="0.25">
      <c r="A12" s="20">
        <v>2026</v>
      </c>
      <c r="B12" s="20" t="s">
        <v>167</v>
      </c>
      <c r="C12" s="20" t="s">
        <v>168</v>
      </c>
      <c r="D12" s="20">
        <v>5019</v>
      </c>
      <c r="E12" s="20">
        <v>2700</v>
      </c>
      <c r="F12" s="21">
        <v>53.8</v>
      </c>
    </row>
    <row r="13" spans="1:6" ht="15" customHeight="1" x14ac:dyDescent="0.25">
      <c r="A13" s="20">
        <v>2026</v>
      </c>
      <c r="B13" s="20" t="s">
        <v>169</v>
      </c>
      <c r="C13" s="20" t="s">
        <v>170</v>
      </c>
      <c r="D13" s="20">
        <v>4492</v>
      </c>
      <c r="E13" s="20">
        <v>3163</v>
      </c>
      <c r="F13" s="21">
        <v>70.41</v>
      </c>
    </row>
    <row r="14" spans="1:6" ht="15" customHeight="1" x14ac:dyDescent="0.25">
      <c r="A14" s="20">
        <v>2026</v>
      </c>
      <c r="B14" s="20" t="s">
        <v>171</v>
      </c>
      <c r="C14" s="20" t="s">
        <v>172</v>
      </c>
      <c r="D14" s="20">
        <v>228</v>
      </c>
      <c r="E14" s="20">
        <v>211</v>
      </c>
      <c r="F14" s="21">
        <v>92.54</v>
      </c>
    </row>
    <row r="15" spans="1:6" ht="15" customHeight="1" x14ac:dyDescent="0.25">
      <c r="A15" s="20">
        <v>2026</v>
      </c>
      <c r="B15" s="20" t="s">
        <v>173</v>
      </c>
      <c r="C15" s="20" t="s">
        <v>174</v>
      </c>
      <c r="D15" s="20">
        <v>637</v>
      </c>
      <c r="E15" s="20">
        <v>558</v>
      </c>
      <c r="F15" s="21">
        <v>87.6</v>
      </c>
    </row>
    <row r="16" spans="1:6" ht="15" customHeight="1" x14ac:dyDescent="0.25">
      <c r="A16" s="20">
        <v>2026</v>
      </c>
      <c r="B16" s="20" t="s">
        <v>175</v>
      </c>
      <c r="C16" s="20" t="s">
        <v>176</v>
      </c>
      <c r="D16" s="20">
        <v>3540</v>
      </c>
      <c r="E16" s="20">
        <v>3103</v>
      </c>
      <c r="F16" s="21">
        <v>87.66</v>
      </c>
    </row>
    <row r="17" spans="1:6" ht="15" customHeight="1" x14ac:dyDescent="0.25">
      <c r="A17" s="20">
        <v>2026</v>
      </c>
      <c r="B17" s="20" t="s">
        <v>177</v>
      </c>
      <c r="C17" s="20" t="s">
        <v>178</v>
      </c>
      <c r="D17" s="20">
        <v>51610</v>
      </c>
      <c r="E17" s="20">
        <v>42316</v>
      </c>
      <c r="F17" s="21">
        <v>81.99</v>
      </c>
    </row>
    <row r="18" spans="1:6" ht="15" customHeight="1" x14ac:dyDescent="0.25">
      <c r="A18" s="20">
        <v>2026</v>
      </c>
      <c r="B18" s="20" t="s">
        <v>179</v>
      </c>
      <c r="C18" s="20" t="s">
        <v>180</v>
      </c>
      <c r="D18" s="20">
        <v>47534</v>
      </c>
      <c r="E18" s="20">
        <v>34394</v>
      </c>
      <c r="F18" s="21">
        <v>72.36</v>
      </c>
    </row>
    <row r="19" spans="1:6" ht="15" customHeight="1" x14ac:dyDescent="0.25">
      <c r="A19" s="20">
        <v>2026</v>
      </c>
      <c r="B19" s="20" t="s">
        <v>181</v>
      </c>
      <c r="C19" s="20" t="s">
        <v>182</v>
      </c>
      <c r="D19" s="20">
        <v>50661</v>
      </c>
      <c r="E19" s="20">
        <v>47603</v>
      </c>
      <c r="F19" s="21">
        <v>93.96</v>
      </c>
    </row>
    <row r="20" spans="1:6" ht="15" customHeight="1" x14ac:dyDescent="0.25">
      <c r="A20" s="20">
        <v>2026</v>
      </c>
      <c r="B20" s="20" t="s">
        <v>183</v>
      </c>
      <c r="C20" s="20" t="s">
        <v>184</v>
      </c>
      <c r="D20" s="20">
        <v>51408</v>
      </c>
      <c r="E20" s="20">
        <v>37785</v>
      </c>
      <c r="F20" s="21">
        <v>73.5</v>
      </c>
    </row>
    <row r="21" spans="1:6" ht="15" customHeight="1" x14ac:dyDescent="0.25">
      <c r="A21" s="20">
        <v>2026</v>
      </c>
      <c r="B21" s="20" t="s">
        <v>185</v>
      </c>
      <c r="C21" s="20" t="s">
        <v>186</v>
      </c>
      <c r="D21" s="20">
        <v>1</v>
      </c>
      <c r="E21" s="20">
        <v>1</v>
      </c>
      <c r="F21" s="21">
        <v>100</v>
      </c>
    </row>
    <row r="22" spans="1:6" ht="15" customHeight="1" x14ac:dyDescent="0.25">
      <c r="A22" s="20">
        <v>2026</v>
      </c>
      <c r="B22" s="20" t="s">
        <v>187</v>
      </c>
      <c r="C22" s="20" t="s">
        <v>188</v>
      </c>
      <c r="D22" s="20">
        <v>2873</v>
      </c>
      <c r="E22" s="20">
        <v>2287</v>
      </c>
      <c r="F22" s="21">
        <v>79.599999999999994</v>
      </c>
    </row>
    <row r="23" spans="1:6" ht="15" customHeight="1" x14ac:dyDescent="0.25">
      <c r="A23" s="20">
        <v>2026</v>
      </c>
      <c r="B23" s="20" t="s">
        <v>189</v>
      </c>
      <c r="C23" s="20" t="s">
        <v>190</v>
      </c>
      <c r="D23" s="20">
        <v>48630</v>
      </c>
      <c r="E23" s="20">
        <v>39514</v>
      </c>
      <c r="F23" s="21">
        <v>81.25</v>
      </c>
    </row>
    <row r="24" spans="1:6" ht="15" customHeight="1" x14ac:dyDescent="0.25">
      <c r="A24" s="20">
        <v>2026</v>
      </c>
      <c r="B24" s="20" t="s">
        <v>191</v>
      </c>
      <c r="C24" s="20" t="s">
        <v>192</v>
      </c>
      <c r="D24" s="20">
        <v>50910</v>
      </c>
      <c r="E24" s="20">
        <v>47237</v>
      </c>
      <c r="F24" s="21">
        <v>92.79</v>
      </c>
    </row>
    <row r="25" spans="1:6" ht="15" customHeight="1" x14ac:dyDescent="0.25">
      <c r="A25" s="20">
        <v>2026</v>
      </c>
      <c r="B25" s="20" t="s">
        <v>193</v>
      </c>
      <c r="C25" s="20" t="s">
        <v>194</v>
      </c>
      <c r="D25" s="20">
        <v>1</v>
      </c>
      <c r="E25" s="20">
        <v>0</v>
      </c>
      <c r="F25" s="21">
        <v>0</v>
      </c>
    </row>
  </sheetData>
  <autoFilter ref="A1:F25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6" customWidth="1"/>
    <col min="3" max="3" width="10" customWidth="1"/>
    <col min="6" max="6" width="21" customWidth="1"/>
    <col min="7" max="7" width="10" customWidth="1"/>
  </cols>
  <sheetData>
    <row r="1" spans="1:7" ht="27.75" customHeight="1" x14ac:dyDescent="0.25">
      <c r="A1" s="8" t="s">
        <v>121</v>
      </c>
      <c r="B1" s="8" t="s">
        <v>195</v>
      </c>
      <c r="C1" s="8" t="s">
        <v>130</v>
      </c>
      <c r="D1" s="8" t="s">
        <v>122</v>
      </c>
      <c r="E1" s="8" t="s">
        <v>123</v>
      </c>
      <c r="F1" s="8" t="s">
        <v>124</v>
      </c>
      <c r="G1" s="8" t="s">
        <v>196</v>
      </c>
    </row>
    <row r="2" spans="1:7" ht="15" customHeight="1" x14ac:dyDescent="0.25">
      <c r="A2" s="24">
        <v>2025</v>
      </c>
      <c r="B2" s="24" t="s">
        <v>197</v>
      </c>
      <c r="C2" s="24" t="s">
        <v>198</v>
      </c>
      <c r="D2" s="25">
        <v>18840</v>
      </c>
      <c r="E2" s="25">
        <v>13460</v>
      </c>
      <c r="F2" s="26">
        <v>0.71830000000000005</v>
      </c>
      <c r="G2" s="25">
        <v>101</v>
      </c>
    </row>
    <row r="3" spans="1:7" ht="15" customHeight="1" x14ac:dyDescent="0.25">
      <c r="A3" s="27">
        <v>2026</v>
      </c>
      <c r="B3" s="27" t="s">
        <v>197</v>
      </c>
      <c r="C3" s="27" t="s">
        <v>198</v>
      </c>
      <c r="D3" s="28">
        <v>19481</v>
      </c>
      <c r="E3" s="28">
        <v>13400</v>
      </c>
      <c r="F3" s="29">
        <v>0.6915</v>
      </c>
      <c r="G3" s="28">
        <v>103</v>
      </c>
    </row>
    <row r="4" spans="1:7" ht="15" customHeight="1" x14ac:dyDescent="0.25">
      <c r="A4" s="24">
        <v>2025</v>
      </c>
      <c r="B4" s="24" t="s">
        <v>197</v>
      </c>
      <c r="C4" s="24" t="s">
        <v>199</v>
      </c>
      <c r="D4" s="25">
        <v>9357</v>
      </c>
      <c r="E4" s="25">
        <v>4114</v>
      </c>
      <c r="F4" s="26">
        <v>0.44280000000000003</v>
      </c>
      <c r="G4" s="25">
        <v>66</v>
      </c>
    </row>
    <row r="5" spans="1:7" ht="15" customHeight="1" x14ac:dyDescent="0.25">
      <c r="A5" s="27">
        <v>2026</v>
      </c>
      <c r="B5" s="27" t="s">
        <v>197</v>
      </c>
      <c r="C5" s="27" t="s">
        <v>199</v>
      </c>
      <c r="D5" s="28">
        <v>8886</v>
      </c>
      <c r="E5" s="28">
        <v>3816</v>
      </c>
      <c r="F5" s="29">
        <v>0.43230000000000002</v>
      </c>
      <c r="G5" s="28">
        <v>58</v>
      </c>
    </row>
    <row r="6" spans="1:7" ht="15" customHeight="1" x14ac:dyDescent="0.25">
      <c r="A6" s="24">
        <v>2025</v>
      </c>
      <c r="B6" s="24" t="s">
        <v>200</v>
      </c>
      <c r="C6" s="24" t="s">
        <v>198</v>
      </c>
      <c r="D6" s="25">
        <v>35332</v>
      </c>
      <c r="E6" s="25">
        <v>23217</v>
      </c>
      <c r="F6" s="26">
        <v>0.66310000000000002</v>
      </c>
      <c r="G6" s="25">
        <v>321</v>
      </c>
    </row>
    <row r="7" spans="1:7" ht="15" customHeight="1" x14ac:dyDescent="0.25">
      <c r="A7" s="27">
        <v>2026</v>
      </c>
      <c r="B7" s="27" t="s">
        <v>200</v>
      </c>
      <c r="C7" s="27" t="s">
        <v>198</v>
      </c>
      <c r="D7" s="28">
        <v>35427</v>
      </c>
      <c r="E7" s="28">
        <v>24962</v>
      </c>
      <c r="F7" s="29">
        <v>0.71050000000000002</v>
      </c>
      <c r="G7" s="28">
        <v>294</v>
      </c>
    </row>
    <row r="8" spans="1:7" ht="15" customHeight="1" x14ac:dyDescent="0.25">
      <c r="A8" s="24">
        <v>2025</v>
      </c>
      <c r="B8" s="24" t="s">
        <v>200</v>
      </c>
      <c r="C8" s="24" t="s">
        <v>199</v>
      </c>
      <c r="D8" s="25">
        <v>5092</v>
      </c>
      <c r="E8" s="25">
        <v>1387</v>
      </c>
      <c r="F8" s="26">
        <v>0.27410000000000001</v>
      </c>
      <c r="G8" s="25">
        <v>31</v>
      </c>
    </row>
    <row r="9" spans="1:7" ht="15" customHeight="1" x14ac:dyDescent="0.25">
      <c r="A9" s="27">
        <v>2026</v>
      </c>
      <c r="B9" s="27" t="s">
        <v>200</v>
      </c>
      <c r="C9" s="27" t="s">
        <v>199</v>
      </c>
      <c r="D9" s="28">
        <v>3964</v>
      </c>
      <c r="E9" s="28">
        <v>2020</v>
      </c>
      <c r="F9" s="29">
        <v>0.51239999999999997</v>
      </c>
      <c r="G9" s="28">
        <v>22</v>
      </c>
    </row>
    <row r="10" spans="1:7" ht="15" customHeight="1" x14ac:dyDescent="0.25">
      <c r="A10" s="24">
        <v>2025</v>
      </c>
      <c r="B10" s="24" t="s">
        <v>201</v>
      </c>
      <c r="C10" s="24" t="s">
        <v>198</v>
      </c>
      <c r="D10" s="25"/>
      <c r="E10" s="25"/>
      <c r="F10" s="26"/>
      <c r="G10" s="25"/>
    </row>
    <row r="11" spans="1:7" ht="15" customHeight="1" x14ac:dyDescent="0.25">
      <c r="A11" s="27">
        <v>2026</v>
      </c>
      <c r="B11" s="27" t="s">
        <v>201</v>
      </c>
      <c r="C11" s="27" t="s">
        <v>198</v>
      </c>
      <c r="D11" s="28"/>
      <c r="E11" s="28"/>
      <c r="F11" s="29"/>
      <c r="G11" s="28"/>
    </row>
    <row r="12" spans="1:7" ht="15" customHeight="1" x14ac:dyDescent="0.25">
      <c r="A12" s="24">
        <v>2025</v>
      </c>
      <c r="B12" s="24" t="s">
        <v>201</v>
      </c>
      <c r="C12" s="24" t="s">
        <v>199</v>
      </c>
      <c r="D12" s="25">
        <v>1692</v>
      </c>
      <c r="E12" s="25">
        <v>656</v>
      </c>
      <c r="F12" s="26">
        <v>0.39879999999999999</v>
      </c>
      <c r="G12" s="25">
        <v>47</v>
      </c>
    </row>
    <row r="13" spans="1:7" ht="15" customHeight="1" x14ac:dyDescent="0.25">
      <c r="A13" s="27">
        <v>2026</v>
      </c>
      <c r="B13" s="27" t="s">
        <v>201</v>
      </c>
      <c r="C13" s="27" t="s">
        <v>199</v>
      </c>
      <c r="D13" s="28">
        <v>1588</v>
      </c>
      <c r="E13" s="28">
        <v>705</v>
      </c>
      <c r="F13" s="29">
        <v>0.4587</v>
      </c>
      <c r="G13" s="28">
        <v>51</v>
      </c>
    </row>
    <row r="14" spans="1:7" ht="15" customHeight="1" x14ac:dyDescent="0.25">
      <c r="A14" s="24">
        <v>2025</v>
      </c>
      <c r="B14" s="24" t="s">
        <v>202</v>
      </c>
      <c r="C14" s="24" t="s">
        <v>198</v>
      </c>
      <c r="D14" s="25">
        <v>3</v>
      </c>
      <c r="E14" s="25">
        <v>1</v>
      </c>
      <c r="F14" s="26">
        <v>0.33329999999999999</v>
      </c>
      <c r="G14" s="25">
        <v>0</v>
      </c>
    </row>
    <row r="15" spans="1:7" ht="15" customHeight="1" x14ac:dyDescent="0.25">
      <c r="A15" s="27">
        <v>2026</v>
      </c>
      <c r="B15" s="27" t="s">
        <v>202</v>
      </c>
      <c r="C15" s="27" t="s">
        <v>198</v>
      </c>
      <c r="D15" s="28"/>
      <c r="E15" s="28"/>
      <c r="F15" s="29"/>
      <c r="G15" s="28"/>
    </row>
    <row r="16" spans="1:7" ht="15" customHeight="1" x14ac:dyDescent="0.25">
      <c r="A16" s="24">
        <v>2025</v>
      </c>
      <c r="B16" s="24" t="s">
        <v>202</v>
      </c>
      <c r="C16" s="24" t="s">
        <v>199</v>
      </c>
      <c r="D16" s="25">
        <v>3143</v>
      </c>
      <c r="E16" s="25">
        <v>934</v>
      </c>
      <c r="F16" s="26">
        <v>0.3115</v>
      </c>
      <c r="G16" s="25">
        <v>145</v>
      </c>
    </row>
    <row r="17" spans="1:7" ht="15" customHeight="1" x14ac:dyDescent="0.25">
      <c r="A17" s="27">
        <v>2026</v>
      </c>
      <c r="B17" s="27" t="s">
        <v>202</v>
      </c>
      <c r="C17" s="27" t="s">
        <v>199</v>
      </c>
      <c r="D17" s="28">
        <v>3021</v>
      </c>
      <c r="E17" s="28">
        <v>1316</v>
      </c>
      <c r="F17" s="29">
        <v>0.45379999999999998</v>
      </c>
      <c r="G17" s="28">
        <v>121</v>
      </c>
    </row>
  </sheetData>
  <autoFilter ref="A1:G1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6" customWidth="1"/>
    <col min="3" max="3" width="10" customWidth="1"/>
    <col min="5" max="5" width="21" customWidth="1"/>
    <col min="6" max="6" width="10" customWidth="1"/>
  </cols>
  <sheetData>
    <row r="1" spans="1:6" ht="27.75" customHeight="1" x14ac:dyDescent="0.25">
      <c r="A1" s="8" t="s">
        <v>121</v>
      </c>
      <c r="B1" s="8" t="s">
        <v>195</v>
      </c>
      <c r="C1" s="8" t="s">
        <v>122</v>
      </c>
      <c r="D1" s="8" t="s">
        <v>123</v>
      </c>
      <c r="E1" s="8" t="s">
        <v>124</v>
      </c>
      <c r="F1" s="8" t="s">
        <v>196</v>
      </c>
    </row>
    <row r="2" spans="1:6" ht="15" customHeight="1" x14ac:dyDescent="0.25">
      <c r="A2" s="24">
        <v>2025</v>
      </c>
      <c r="B2" s="24" t="s">
        <v>197</v>
      </c>
      <c r="C2" s="25">
        <v>28197</v>
      </c>
      <c r="D2" s="25">
        <v>17574</v>
      </c>
      <c r="E2" s="26">
        <v>0.627</v>
      </c>
      <c r="F2" s="25">
        <v>167</v>
      </c>
    </row>
    <row r="3" spans="1:6" ht="15" customHeight="1" x14ac:dyDescent="0.25">
      <c r="A3" s="27">
        <v>2026</v>
      </c>
      <c r="B3" s="27" t="s">
        <v>197</v>
      </c>
      <c r="C3" s="28">
        <v>28367</v>
      </c>
      <c r="D3" s="28">
        <v>17216</v>
      </c>
      <c r="E3" s="29">
        <v>0.61040000000000005</v>
      </c>
      <c r="F3" s="28">
        <v>161</v>
      </c>
    </row>
    <row r="4" spans="1:6" ht="15" customHeight="1" x14ac:dyDescent="0.25">
      <c r="A4" s="15" t="s">
        <v>125</v>
      </c>
      <c r="B4" s="15" t="s">
        <v>197</v>
      </c>
      <c r="C4" s="16">
        <f>C3-C2</f>
        <v>170</v>
      </c>
      <c r="D4" s="16">
        <f>D3-D2</f>
        <v>-358</v>
      </c>
      <c r="E4" s="17">
        <f>E3-E2</f>
        <v>-1.6599999999999948E-2</v>
      </c>
      <c r="F4" s="16">
        <f>F3-F2</f>
        <v>-6</v>
      </c>
    </row>
    <row r="5" spans="1:6" ht="15" customHeight="1" x14ac:dyDescent="0.25">
      <c r="A5" s="24">
        <v>2025</v>
      </c>
      <c r="B5" s="24" t="s">
        <v>200</v>
      </c>
      <c r="C5" s="25">
        <v>40424</v>
      </c>
      <c r="D5" s="25">
        <v>24604</v>
      </c>
      <c r="E5" s="26">
        <v>0.61399999999999999</v>
      </c>
      <c r="F5" s="25">
        <v>352</v>
      </c>
    </row>
    <row r="6" spans="1:6" ht="15" customHeight="1" x14ac:dyDescent="0.25">
      <c r="A6" s="27">
        <v>2026</v>
      </c>
      <c r="B6" s="27" t="s">
        <v>200</v>
      </c>
      <c r="C6" s="28">
        <v>39391</v>
      </c>
      <c r="D6" s="28">
        <v>26982</v>
      </c>
      <c r="E6" s="29">
        <v>0.6905</v>
      </c>
      <c r="F6" s="28">
        <v>316</v>
      </c>
    </row>
    <row r="7" spans="1:6" ht="15" customHeight="1" x14ac:dyDescent="0.25">
      <c r="A7" s="15" t="s">
        <v>125</v>
      </c>
      <c r="B7" s="15" t="s">
        <v>200</v>
      </c>
      <c r="C7" s="16">
        <f>C6-C5</f>
        <v>-1033</v>
      </c>
      <c r="D7" s="16">
        <f>D6-D5</f>
        <v>2378</v>
      </c>
      <c r="E7" s="17">
        <f>E6-E5</f>
        <v>7.6500000000000012E-2</v>
      </c>
      <c r="F7" s="16">
        <f>F6-F5</f>
        <v>-36</v>
      </c>
    </row>
    <row r="8" spans="1:6" ht="15" customHeight="1" x14ac:dyDescent="0.25">
      <c r="A8" s="24">
        <v>2025</v>
      </c>
      <c r="B8" s="24" t="s">
        <v>201</v>
      </c>
      <c r="C8" s="25">
        <v>1692</v>
      </c>
      <c r="D8" s="25">
        <v>656</v>
      </c>
      <c r="E8" s="26">
        <v>0.39879999999999999</v>
      </c>
      <c r="F8" s="25">
        <v>47</v>
      </c>
    </row>
    <row r="9" spans="1:6" ht="15" customHeight="1" x14ac:dyDescent="0.25">
      <c r="A9" s="27">
        <v>2026</v>
      </c>
      <c r="B9" s="27" t="s">
        <v>201</v>
      </c>
      <c r="C9" s="28">
        <v>1588</v>
      </c>
      <c r="D9" s="28">
        <v>705</v>
      </c>
      <c r="E9" s="29">
        <v>0.4587</v>
      </c>
      <c r="F9" s="28">
        <v>51</v>
      </c>
    </row>
    <row r="10" spans="1:6" ht="15" customHeight="1" x14ac:dyDescent="0.25">
      <c r="A10" s="15" t="s">
        <v>125</v>
      </c>
      <c r="B10" s="15" t="s">
        <v>201</v>
      </c>
      <c r="C10" s="16">
        <f>C9-C8</f>
        <v>-104</v>
      </c>
      <c r="D10" s="16">
        <f>D9-D8</f>
        <v>49</v>
      </c>
      <c r="E10" s="17">
        <f>E9-E8</f>
        <v>5.9900000000000009E-2</v>
      </c>
      <c r="F10" s="16">
        <f>F9-F8</f>
        <v>4</v>
      </c>
    </row>
    <row r="11" spans="1:6" ht="15" customHeight="1" x14ac:dyDescent="0.25">
      <c r="A11" s="24">
        <v>2025</v>
      </c>
      <c r="B11" s="24" t="s">
        <v>202</v>
      </c>
      <c r="C11" s="25">
        <v>3146</v>
      </c>
      <c r="D11" s="25">
        <v>935</v>
      </c>
      <c r="E11" s="26">
        <v>0.31159999999999999</v>
      </c>
      <c r="F11" s="25">
        <v>145</v>
      </c>
    </row>
    <row r="12" spans="1:6" ht="15" customHeight="1" x14ac:dyDescent="0.25">
      <c r="A12" s="27">
        <v>2026</v>
      </c>
      <c r="B12" s="27" t="s">
        <v>202</v>
      </c>
      <c r="C12" s="28">
        <v>3021</v>
      </c>
      <c r="D12" s="28">
        <v>1316</v>
      </c>
      <c r="E12" s="29">
        <v>0.45379999999999998</v>
      </c>
      <c r="F12" s="28">
        <v>121</v>
      </c>
    </row>
    <row r="13" spans="1:6" ht="15" customHeight="1" x14ac:dyDescent="0.25">
      <c r="A13" s="15" t="s">
        <v>125</v>
      </c>
      <c r="B13" s="15" t="s">
        <v>202</v>
      </c>
      <c r="C13" s="16">
        <f>C12-C11</f>
        <v>-125</v>
      </c>
      <c r="D13" s="16">
        <f>D12-D11</f>
        <v>381</v>
      </c>
      <c r="E13" s="17">
        <f>E12-E11</f>
        <v>0.14219999999999999</v>
      </c>
      <c r="F13" s="16">
        <f>F12-F11</f>
        <v>-24</v>
      </c>
    </row>
    <row r="14" spans="1:6" ht="15" customHeight="1" x14ac:dyDescent="0.25">
      <c r="A14" s="30">
        <v>2025</v>
      </c>
      <c r="B14" s="30" t="s">
        <v>203</v>
      </c>
      <c r="C14" s="31">
        <v>73459</v>
      </c>
      <c r="D14" s="31">
        <v>43769</v>
      </c>
      <c r="E14" s="32">
        <v>0.60170000000000001</v>
      </c>
      <c r="F14" s="31">
        <v>711</v>
      </c>
    </row>
    <row r="15" spans="1:6" ht="15" customHeight="1" x14ac:dyDescent="0.25">
      <c r="A15" s="22">
        <v>2026</v>
      </c>
      <c r="B15" s="22" t="s">
        <v>203</v>
      </c>
      <c r="C15" s="33">
        <v>72367</v>
      </c>
      <c r="D15" s="33">
        <v>46219</v>
      </c>
      <c r="E15" s="34">
        <v>0.64449999999999996</v>
      </c>
      <c r="F15" s="33">
        <v>649</v>
      </c>
    </row>
    <row r="16" spans="1:6" ht="15" customHeight="1" x14ac:dyDescent="0.25">
      <c r="A16" s="15" t="s">
        <v>125</v>
      </c>
      <c r="B16" s="15" t="s">
        <v>203</v>
      </c>
      <c r="C16" s="16">
        <f>C15-C14</f>
        <v>-1092</v>
      </c>
      <c r="D16" s="16">
        <f>D15-D14</f>
        <v>2450</v>
      </c>
      <c r="E16" s="17">
        <f>E15-E14</f>
        <v>4.2799999999999949E-2</v>
      </c>
      <c r="F16" s="16">
        <f>F15-F14</f>
        <v>-62</v>
      </c>
    </row>
  </sheetData>
  <autoFilter ref="A1:F16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9" customWidth="1"/>
    <col min="2" max="2" width="10" customWidth="1"/>
    <col min="3" max="3" width="16" customWidth="1"/>
    <col min="4" max="4" width="10" customWidth="1"/>
    <col min="5" max="5" width="21" customWidth="1"/>
  </cols>
  <sheetData>
    <row r="1" spans="1:5" ht="27.75" customHeight="1" x14ac:dyDescent="0.25">
      <c r="A1" s="8" t="s">
        <v>145</v>
      </c>
      <c r="B1" s="8" t="s">
        <v>121</v>
      </c>
      <c r="C1" s="8" t="s">
        <v>204</v>
      </c>
      <c r="D1" s="8" t="s">
        <v>123</v>
      </c>
      <c r="E1" s="8" t="s">
        <v>124</v>
      </c>
    </row>
    <row r="2" spans="1:5" ht="15" customHeight="1" x14ac:dyDescent="0.25">
      <c r="A2" s="24" t="s">
        <v>205</v>
      </c>
      <c r="B2" s="24">
        <v>2025</v>
      </c>
      <c r="C2" s="25">
        <v>379</v>
      </c>
      <c r="D2" s="25">
        <v>332</v>
      </c>
      <c r="E2" s="26">
        <v>0.876</v>
      </c>
    </row>
    <row r="3" spans="1:5" ht="15" customHeight="1" x14ac:dyDescent="0.25">
      <c r="A3" s="27" t="s">
        <v>205</v>
      </c>
      <c r="B3" s="27">
        <v>2026</v>
      </c>
      <c r="C3" s="28">
        <v>393</v>
      </c>
      <c r="D3" s="28">
        <v>377</v>
      </c>
      <c r="E3" s="29">
        <v>0.95930000000000004</v>
      </c>
    </row>
    <row r="4" spans="1:5" ht="15" customHeight="1" x14ac:dyDescent="0.25">
      <c r="A4" s="24" t="s">
        <v>206</v>
      </c>
      <c r="B4" s="24">
        <v>2025</v>
      </c>
      <c r="C4" s="25">
        <v>7074</v>
      </c>
      <c r="D4" s="25">
        <v>6714</v>
      </c>
      <c r="E4" s="26">
        <v>0.94910000000000005</v>
      </c>
    </row>
    <row r="5" spans="1:5" ht="15" customHeight="1" x14ac:dyDescent="0.25">
      <c r="A5" s="27" t="s">
        <v>206</v>
      </c>
      <c r="B5" s="27">
        <v>2026</v>
      </c>
      <c r="C5" s="28">
        <v>6104</v>
      </c>
      <c r="D5" s="28">
        <v>5864</v>
      </c>
      <c r="E5" s="29">
        <v>0.9607</v>
      </c>
    </row>
    <row r="6" spans="1:5" ht="15" customHeight="1" x14ac:dyDescent="0.25">
      <c r="A6" s="24" t="s">
        <v>207</v>
      </c>
      <c r="B6" s="24">
        <v>2025</v>
      </c>
      <c r="C6" s="25">
        <v>47677</v>
      </c>
      <c r="D6" s="25">
        <v>40193</v>
      </c>
      <c r="E6" s="26">
        <v>0.84299999999999997</v>
      </c>
    </row>
    <row r="7" spans="1:5" ht="15" customHeight="1" x14ac:dyDescent="0.25">
      <c r="A7" s="27" t="s">
        <v>207</v>
      </c>
      <c r="B7" s="27">
        <v>2026</v>
      </c>
      <c r="C7" s="28">
        <v>46630</v>
      </c>
      <c r="D7" s="28">
        <v>38928</v>
      </c>
      <c r="E7" s="29">
        <v>0.83479999999999999</v>
      </c>
    </row>
    <row r="8" spans="1:5" ht="15" customHeight="1" x14ac:dyDescent="0.25">
      <c r="A8" s="24" t="s">
        <v>208</v>
      </c>
      <c r="B8" s="24">
        <v>2025</v>
      </c>
      <c r="C8" s="25">
        <v>56005</v>
      </c>
      <c r="D8" s="25">
        <v>47951</v>
      </c>
      <c r="E8" s="26">
        <v>0.85619999999999996</v>
      </c>
    </row>
    <row r="9" spans="1:5" ht="15" customHeight="1" x14ac:dyDescent="0.25">
      <c r="A9" s="27" t="s">
        <v>208</v>
      </c>
      <c r="B9" s="27">
        <v>2026</v>
      </c>
      <c r="C9" s="28">
        <v>56373</v>
      </c>
      <c r="D9" s="28">
        <v>52171</v>
      </c>
      <c r="E9" s="29">
        <v>0.92549999999999999</v>
      </c>
    </row>
    <row r="10" spans="1:5" ht="15" customHeight="1" x14ac:dyDescent="0.25">
      <c r="A10" s="24" t="s">
        <v>209</v>
      </c>
      <c r="B10" s="24">
        <v>2025</v>
      </c>
      <c r="C10" s="25">
        <v>5056</v>
      </c>
      <c r="D10" s="25">
        <v>3991</v>
      </c>
      <c r="E10" s="26">
        <v>0.78939999999999999</v>
      </c>
    </row>
    <row r="11" spans="1:5" ht="15" customHeight="1" x14ac:dyDescent="0.25">
      <c r="A11" s="27" t="s">
        <v>209</v>
      </c>
      <c r="B11" s="27">
        <v>2026</v>
      </c>
      <c r="C11" s="28">
        <v>5010</v>
      </c>
      <c r="D11" s="28">
        <v>4576</v>
      </c>
      <c r="E11" s="29">
        <v>0.91339999999999999</v>
      </c>
    </row>
    <row r="12" spans="1:5" ht="15" customHeight="1" x14ac:dyDescent="0.25">
      <c r="A12" s="24" t="s">
        <v>210</v>
      </c>
      <c r="B12" s="24">
        <v>2025</v>
      </c>
      <c r="C12" s="25">
        <v>7914</v>
      </c>
      <c r="D12" s="25">
        <v>7526</v>
      </c>
      <c r="E12" s="26">
        <v>0.95099999999999996</v>
      </c>
    </row>
    <row r="13" spans="1:5" ht="15" customHeight="1" x14ac:dyDescent="0.25">
      <c r="A13" s="27" t="s">
        <v>210</v>
      </c>
      <c r="B13" s="27">
        <v>2026</v>
      </c>
      <c r="C13" s="28">
        <v>9886</v>
      </c>
      <c r="D13" s="28">
        <v>9281</v>
      </c>
      <c r="E13" s="29">
        <v>0.93879999999999997</v>
      </c>
    </row>
    <row r="14" spans="1:5" ht="15" customHeight="1" x14ac:dyDescent="0.25">
      <c r="A14" s="24" t="s">
        <v>211</v>
      </c>
      <c r="B14" s="24">
        <v>2025</v>
      </c>
      <c r="C14" s="25">
        <v>24</v>
      </c>
      <c r="D14" s="25">
        <v>15</v>
      </c>
      <c r="E14" s="26">
        <v>0.625</v>
      </c>
    </row>
    <row r="15" spans="1:5" ht="15" customHeight="1" x14ac:dyDescent="0.25">
      <c r="A15" s="27" t="s">
        <v>211</v>
      </c>
      <c r="B15" s="27">
        <v>2026</v>
      </c>
      <c r="C15" s="28">
        <v>26</v>
      </c>
      <c r="D15" s="28">
        <v>11</v>
      </c>
      <c r="E15" s="29">
        <v>0.42309999999999998</v>
      </c>
    </row>
    <row r="16" spans="1:5" ht="15" customHeight="1" x14ac:dyDescent="0.25">
      <c r="A16" s="24" t="s">
        <v>212</v>
      </c>
      <c r="B16" s="24">
        <v>2025</v>
      </c>
      <c r="C16" s="25">
        <v>77212</v>
      </c>
      <c r="D16" s="25">
        <v>59467</v>
      </c>
      <c r="E16" s="26">
        <v>0.7702</v>
      </c>
    </row>
    <row r="17" spans="1:5" ht="15" customHeight="1" x14ac:dyDescent="0.25">
      <c r="A17" s="27" t="s">
        <v>212</v>
      </c>
      <c r="B17" s="27">
        <v>2026</v>
      </c>
      <c r="C17" s="28">
        <v>76705</v>
      </c>
      <c r="D17" s="28">
        <v>73664</v>
      </c>
      <c r="E17" s="29">
        <v>0.96040000000000003</v>
      </c>
    </row>
    <row r="18" spans="1:5" ht="15" customHeight="1" x14ac:dyDescent="0.25">
      <c r="A18" s="24" t="s">
        <v>213</v>
      </c>
      <c r="B18" s="24">
        <v>2025</v>
      </c>
      <c r="C18" s="25">
        <v>31</v>
      </c>
      <c r="D18" s="25">
        <v>26</v>
      </c>
      <c r="E18" s="26">
        <v>0.8387</v>
      </c>
    </row>
    <row r="19" spans="1:5" ht="15" customHeight="1" x14ac:dyDescent="0.25">
      <c r="A19" s="27" t="s">
        <v>213</v>
      </c>
      <c r="B19" s="27">
        <v>2026</v>
      </c>
      <c r="C19" s="28">
        <v>25</v>
      </c>
      <c r="D19" s="28">
        <v>22</v>
      </c>
      <c r="E19" s="29">
        <v>0.88</v>
      </c>
    </row>
    <row r="20" spans="1:5" ht="15" customHeight="1" x14ac:dyDescent="0.25">
      <c r="A20" s="24" t="s">
        <v>214</v>
      </c>
      <c r="B20" s="24">
        <v>2025</v>
      </c>
      <c r="C20" s="25">
        <v>46</v>
      </c>
      <c r="D20" s="25">
        <v>43</v>
      </c>
      <c r="E20" s="26">
        <v>0.93479999999999996</v>
      </c>
    </row>
    <row r="21" spans="1:5" ht="15" customHeight="1" x14ac:dyDescent="0.25">
      <c r="A21" s="27" t="s">
        <v>214</v>
      </c>
      <c r="B21" s="27">
        <v>2026</v>
      </c>
      <c r="C21" s="27"/>
      <c r="D21" s="27"/>
      <c r="E21" s="27"/>
    </row>
    <row r="22" spans="1:5" ht="15" customHeight="1" x14ac:dyDescent="0.25">
      <c r="A22" s="24" t="s">
        <v>215</v>
      </c>
      <c r="B22" s="24">
        <v>2025</v>
      </c>
      <c r="C22" s="25">
        <v>21708</v>
      </c>
      <c r="D22" s="25">
        <v>14070</v>
      </c>
      <c r="E22" s="26">
        <v>0.64810000000000001</v>
      </c>
    </row>
    <row r="23" spans="1:5" ht="15" customHeight="1" x14ac:dyDescent="0.25">
      <c r="A23" s="27" t="s">
        <v>215</v>
      </c>
      <c r="B23" s="27">
        <v>2026</v>
      </c>
      <c r="C23" s="28">
        <v>19476</v>
      </c>
      <c r="D23" s="28">
        <v>13030</v>
      </c>
      <c r="E23" s="29">
        <v>0.66900000000000004</v>
      </c>
    </row>
    <row r="24" spans="1:5" ht="15" customHeight="1" x14ac:dyDescent="0.25">
      <c r="A24" s="24" t="s">
        <v>216</v>
      </c>
      <c r="B24" s="24">
        <v>2025</v>
      </c>
      <c r="C24" s="25">
        <v>20140</v>
      </c>
      <c r="D24" s="25">
        <v>15080</v>
      </c>
      <c r="E24" s="26">
        <v>0.74880000000000002</v>
      </c>
    </row>
    <row r="25" spans="1:5" ht="15" customHeight="1" x14ac:dyDescent="0.25">
      <c r="A25" s="27" t="s">
        <v>216</v>
      </c>
      <c r="B25" s="27">
        <v>2026</v>
      </c>
      <c r="C25" s="28">
        <v>18307</v>
      </c>
      <c r="D25" s="28">
        <v>13443</v>
      </c>
      <c r="E25" s="29">
        <v>0.73429999999999995</v>
      </c>
    </row>
    <row r="26" spans="1:5" ht="15" customHeight="1" x14ac:dyDescent="0.25">
      <c r="A26" s="24" t="s">
        <v>217</v>
      </c>
      <c r="B26" s="24">
        <v>2025</v>
      </c>
      <c r="C26" s="25">
        <v>7</v>
      </c>
      <c r="D26" s="25">
        <v>5</v>
      </c>
      <c r="E26" s="26">
        <v>0.71430000000000005</v>
      </c>
    </row>
    <row r="27" spans="1:5" ht="15" customHeight="1" x14ac:dyDescent="0.25">
      <c r="A27" s="27" t="s">
        <v>217</v>
      </c>
      <c r="B27" s="27">
        <v>2026</v>
      </c>
      <c r="C27" s="28">
        <v>3</v>
      </c>
      <c r="D27" s="28">
        <v>2</v>
      </c>
      <c r="E27" s="29">
        <v>0.66669999999999996</v>
      </c>
    </row>
    <row r="28" spans="1:5" ht="15" customHeight="1" x14ac:dyDescent="0.25">
      <c r="A28" s="24" t="s">
        <v>218</v>
      </c>
      <c r="B28" s="24">
        <v>2025</v>
      </c>
      <c r="C28" s="25">
        <v>4181</v>
      </c>
      <c r="D28" s="25">
        <v>3849</v>
      </c>
      <c r="E28" s="26">
        <v>0.92059999999999997</v>
      </c>
    </row>
    <row r="29" spans="1:5" ht="15" customHeight="1" x14ac:dyDescent="0.25">
      <c r="A29" s="27" t="s">
        <v>218</v>
      </c>
      <c r="B29" s="27">
        <v>2026</v>
      </c>
      <c r="C29" s="28">
        <v>4057</v>
      </c>
      <c r="D29" s="28">
        <v>3827</v>
      </c>
      <c r="E29" s="29">
        <v>0.94330000000000003</v>
      </c>
    </row>
    <row r="30" spans="1:5" ht="15" customHeight="1" x14ac:dyDescent="0.25">
      <c r="A30" s="24" t="s">
        <v>219</v>
      </c>
      <c r="B30" s="24">
        <v>2025</v>
      </c>
      <c r="C30" s="25">
        <v>4954</v>
      </c>
      <c r="D30" s="25">
        <v>4047</v>
      </c>
      <c r="E30" s="26">
        <v>0.81689999999999996</v>
      </c>
    </row>
    <row r="31" spans="1:5" ht="15" customHeight="1" x14ac:dyDescent="0.25">
      <c r="A31" s="27" t="s">
        <v>219</v>
      </c>
      <c r="B31" s="27">
        <v>2026</v>
      </c>
      <c r="C31" s="28">
        <v>4503</v>
      </c>
      <c r="D31" s="28">
        <v>4002</v>
      </c>
      <c r="E31" s="29">
        <v>0.88870000000000005</v>
      </c>
    </row>
    <row r="32" spans="1:5" ht="15" customHeight="1" x14ac:dyDescent="0.25">
      <c r="A32" s="24" t="s">
        <v>220</v>
      </c>
      <c r="B32" s="24">
        <v>2025</v>
      </c>
      <c r="C32" s="25">
        <v>1097</v>
      </c>
      <c r="D32" s="25">
        <v>920</v>
      </c>
      <c r="E32" s="26">
        <v>0.8387</v>
      </c>
    </row>
    <row r="33" spans="1:5" ht="15" customHeight="1" x14ac:dyDescent="0.25">
      <c r="A33" s="27" t="s">
        <v>220</v>
      </c>
      <c r="B33" s="27">
        <v>2026</v>
      </c>
      <c r="C33" s="28">
        <v>695</v>
      </c>
      <c r="D33" s="28">
        <v>501</v>
      </c>
      <c r="E33" s="29">
        <v>0.72089999999999999</v>
      </c>
    </row>
    <row r="34" spans="1:5" ht="15" customHeight="1" x14ac:dyDescent="0.25">
      <c r="A34" s="24" t="s">
        <v>221</v>
      </c>
      <c r="B34" s="24">
        <v>2025</v>
      </c>
      <c r="C34" s="25">
        <v>75425</v>
      </c>
      <c r="D34" s="25">
        <v>64575</v>
      </c>
      <c r="E34" s="26">
        <v>0.85609999999999997</v>
      </c>
    </row>
    <row r="35" spans="1:5" ht="15" customHeight="1" x14ac:dyDescent="0.25">
      <c r="A35" s="27" t="s">
        <v>221</v>
      </c>
      <c r="B35" s="27">
        <v>2026</v>
      </c>
      <c r="C35" s="28">
        <v>74648</v>
      </c>
      <c r="D35" s="28">
        <v>66727</v>
      </c>
      <c r="E35" s="29">
        <v>0.89390000000000003</v>
      </c>
    </row>
    <row r="36" spans="1:5" ht="15" customHeight="1" x14ac:dyDescent="0.25">
      <c r="A36" s="24" t="s">
        <v>222</v>
      </c>
      <c r="B36" s="24">
        <v>2025</v>
      </c>
      <c r="C36" s="25">
        <v>17528</v>
      </c>
      <c r="D36" s="25">
        <v>14126</v>
      </c>
      <c r="E36" s="26">
        <v>0.80589999999999995</v>
      </c>
    </row>
    <row r="37" spans="1:5" ht="15" customHeight="1" x14ac:dyDescent="0.25">
      <c r="A37" s="27" t="s">
        <v>222</v>
      </c>
      <c r="B37" s="27">
        <v>2026</v>
      </c>
      <c r="C37" s="28">
        <v>15438</v>
      </c>
      <c r="D37" s="28">
        <v>12978</v>
      </c>
      <c r="E37" s="29">
        <v>0.8407</v>
      </c>
    </row>
    <row r="38" spans="1:5" ht="15" customHeight="1" x14ac:dyDescent="0.25">
      <c r="A38" s="24" t="s">
        <v>223</v>
      </c>
      <c r="B38" s="24">
        <v>2025</v>
      </c>
      <c r="C38" s="25">
        <v>55493</v>
      </c>
      <c r="D38" s="25">
        <v>48262</v>
      </c>
      <c r="E38" s="26">
        <v>0.86970000000000003</v>
      </c>
    </row>
    <row r="39" spans="1:5" ht="15" customHeight="1" x14ac:dyDescent="0.25">
      <c r="A39" s="27" t="s">
        <v>223</v>
      </c>
      <c r="B39" s="27">
        <v>2026</v>
      </c>
      <c r="C39" s="28">
        <v>56315</v>
      </c>
      <c r="D39" s="28">
        <v>45348</v>
      </c>
      <c r="E39" s="29">
        <v>0.80530000000000002</v>
      </c>
    </row>
    <row r="40" spans="1:5" ht="15" customHeight="1" x14ac:dyDescent="0.25">
      <c r="A40" s="24" t="s">
        <v>224</v>
      </c>
      <c r="B40" s="24">
        <v>2025</v>
      </c>
      <c r="C40" s="25">
        <v>74397</v>
      </c>
      <c r="D40" s="25">
        <v>69675</v>
      </c>
      <c r="E40" s="26">
        <v>0.9365</v>
      </c>
    </row>
    <row r="41" spans="1:5" ht="15" customHeight="1" x14ac:dyDescent="0.25">
      <c r="A41" s="27" t="s">
        <v>224</v>
      </c>
      <c r="B41" s="27">
        <v>2026</v>
      </c>
      <c r="C41" s="28">
        <v>73343</v>
      </c>
      <c r="D41" s="28">
        <v>69666</v>
      </c>
      <c r="E41" s="29">
        <v>0.94989999999999997</v>
      </c>
    </row>
    <row r="42" spans="1:5" ht="15" customHeight="1" x14ac:dyDescent="0.25">
      <c r="A42" s="24" t="s">
        <v>225</v>
      </c>
      <c r="B42" s="24">
        <v>2025</v>
      </c>
      <c r="C42" s="25">
        <v>75148</v>
      </c>
      <c r="D42" s="25">
        <v>69983</v>
      </c>
      <c r="E42" s="26">
        <v>0.93130000000000002</v>
      </c>
    </row>
    <row r="43" spans="1:5" ht="15" customHeight="1" x14ac:dyDescent="0.25">
      <c r="A43" s="27" t="s">
        <v>225</v>
      </c>
      <c r="B43" s="27">
        <v>2026</v>
      </c>
      <c r="C43" s="28">
        <v>73801</v>
      </c>
      <c r="D43" s="28">
        <v>66173</v>
      </c>
      <c r="E43" s="29">
        <v>0.89659999999999995</v>
      </c>
    </row>
    <row r="44" spans="1:5" ht="15" customHeight="1" x14ac:dyDescent="0.25">
      <c r="A44" s="24" t="s">
        <v>226</v>
      </c>
      <c r="B44" s="24">
        <v>2025</v>
      </c>
      <c r="C44" s="25">
        <v>51</v>
      </c>
      <c r="D44" s="25">
        <v>46</v>
      </c>
      <c r="E44" s="26">
        <v>0.90200000000000002</v>
      </c>
    </row>
    <row r="45" spans="1:5" ht="15" customHeight="1" x14ac:dyDescent="0.25">
      <c r="A45" s="27" t="s">
        <v>226</v>
      </c>
      <c r="B45" s="27">
        <v>2026</v>
      </c>
      <c r="C45" s="28">
        <v>51</v>
      </c>
      <c r="D45" s="28">
        <v>47</v>
      </c>
      <c r="E45" s="29">
        <v>0.92159999999999997</v>
      </c>
    </row>
    <row r="46" spans="1:5" ht="15" customHeight="1" x14ac:dyDescent="0.25">
      <c r="A46" s="24" t="s">
        <v>227</v>
      </c>
      <c r="B46" s="24">
        <v>2025</v>
      </c>
      <c r="C46" s="25">
        <v>56145</v>
      </c>
      <c r="D46" s="25">
        <v>49446</v>
      </c>
      <c r="E46" s="26">
        <v>0.88070000000000004</v>
      </c>
    </row>
    <row r="47" spans="1:5" ht="15" customHeight="1" x14ac:dyDescent="0.25">
      <c r="A47" s="27" t="s">
        <v>227</v>
      </c>
      <c r="B47" s="27">
        <v>2026</v>
      </c>
      <c r="C47" s="28">
        <v>56699</v>
      </c>
      <c r="D47" s="28">
        <v>50980</v>
      </c>
      <c r="E47" s="29">
        <v>0.89910000000000001</v>
      </c>
    </row>
    <row r="48" spans="1:5" ht="15" customHeight="1" x14ac:dyDescent="0.25">
      <c r="A48" s="24" t="s">
        <v>228</v>
      </c>
      <c r="B48" s="24">
        <v>2025</v>
      </c>
      <c r="C48" s="25">
        <v>74087</v>
      </c>
      <c r="D48" s="25">
        <v>71746</v>
      </c>
      <c r="E48" s="26">
        <v>0.96840000000000004</v>
      </c>
    </row>
    <row r="49" spans="1:5" ht="15" customHeight="1" x14ac:dyDescent="0.25">
      <c r="A49" s="27" t="s">
        <v>228</v>
      </c>
      <c r="B49" s="27">
        <v>2026</v>
      </c>
      <c r="C49" s="28">
        <v>73066</v>
      </c>
      <c r="D49" s="28">
        <v>70430</v>
      </c>
      <c r="E49" s="29">
        <v>0.96389999999999998</v>
      </c>
    </row>
  </sheetData>
  <autoFilter ref="A1:E49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2" customWidth="1"/>
    <col min="3" max="3" width="12" customWidth="1"/>
    <col min="4" max="4" width="10" customWidth="1"/>
    <col min="7" max="7" width="21" customWidth="1"/>
    <col min="8" max="8" width="10" customWidth="1"/>
  </cols>
  <sheetData>
    <row r="1" spans="1:13" ht="27.75" customHeight="1" x14ac:dyDescent="0.25">
      <c r="A1" s="8" t="s">
        <v>121</v>
      </c>
      <c r="B1" s="8" t="s">
        <v>131</v>
      </c>
      <c r="C1" s="8" t="s">
        <v>130</v>
      </c>
      <c r="D1" s="8" t="s">
        <v>229</v>
      </c>
      <c r="E1" s="8" t="s">
        <v>122</v>
      </c>
      <c r="F1" s="8" t="s">
        <v>123</v>
      </c>
      <c r="G1" s="8" t="s">
        <v>124</v>
      </c>
      <c r="H1" s="8" t="s">
        <v>230</v>
      </c>
      <c r="I1" s="8" t="s">
        <v>134</v>
      </c>
      <c r="J1" s="8" t="s">
        <v>135</v>
      </c>
      <c r="K1" s="8" t="s">
        <v>136</v>
      </c>
      <c r="L1" s="8" t="s">
        <v>137</v>
      </c>
      <c r="M1" s="8" t="s">
        <v>138</v>
      </c>
    </row>
    <row r="2" spans="1:13" ht="15" customHeight="1" x14ac:dyDescent="0.25">
      <c r="A2" s="24">
        <v>2025</v>
      </c>
      <c r="B2" s="24" t="s">
        <v>231</v>
      </c>
      <c r="C2" s="24" t="s">
        <v>198</v>
      </c>
      <c r="D2" s="24" t="s">
        <v>232</v>
      </c>
      <c r="E2" s="25">
        <v>30191</v>
      </c>
      <c r="F2" s="25">
        <v>9415</v>
      </c>
      <c r="G2" s="26">
        <v>0.31180000000000002</v>
      </c>
      <c r="H2" s="25">
        <v>1357</v>
      </c>
      <c r="I2" s="25">
        <v>1885</v>
      </c>
      <c r="J2" s="25">
        <v>2787</v>
      </c>
      <c r="K2" s="25">
        <v>2590</v>
      </c>
      <c r="L2" s="25">
        <v>780</v>
      </c>
      <c r="M2" s="25">
        <v>16</v>
      </c>
    </row>
    <row r="3" spans="1:13" ht="15" customHeight="1" x14ac:dyDescent="0.25">
      <c r="A3" s="27">
        <v>2026</v>
      </c>
      <c r="B3" s="27" t="s">
        <v>231</v>
      </c>
      <c r="C3" s="27" t="s">
        <v>198</v>
      </c>
      <c r="D3" s="27" t="s">
        <v>232</v>
      </c>
      <c r="E3" s="28">
        <v>24391</v>
      </c>
      <c r="F3" s="28">
        <v>5964</v>
      </c>
      <c r="G3" s="29">
        <v>0.2445</v>
      </c>
      <c r="H3" s="28">
        <v>949</v>
      </c>
      <c r="I3" s="28">
        <v>1295</v>
      </c>
      <c r="J3" s="28">
        <v>1850</v>
      </c>
      <c r="K3" s="28">
        <v>1561</v>
      </c>
      <c r="L3" s="28">
        <v>306</v>
      </c>
      <c r="M3" s="28">
        <v>3</v>
      </c>
    </row>
    <row r="4" spans="1:13" ht="15" customHeight="1" x14ac:dyDescent="0.25">
      <c r="A4" s="24">
        <v>2025</v>
      </c>
      <c r="B4" s="24" t="s">
        <v>231</v>
      </c>
      <c r="C4" s="24" t="s">
        <v>198</v>
      </c>
      <c r="D4" s="24" t="s">
        <v>233</v>
      </c>
      <c r="E4" s="25">
        <v>21340</v>
      </c>
      <c r="F4" s="25">
        <v>10277</v>
      </c>
      <c r="G4" s="26">
        <v>0.48159999999999997</v>
      </c>
      <c r="H4" s="25">
        <v>2235</v>
      </c>
      <c r="I4" s="25">
        <v>2642</v>
      </c>
      <c r="J4" s="25">
        <v>3319</v>
      </c>
      <c r="K4" s="25">
        <v>1834</v>
      </c>
      <c r="L4" s="25">
        <v>246</v>
      </c>
      <c r="M4" s="25">
        <v>1</v>
      </c>
    </row>
    <row r="5" spans="1:13" ht="15" customHeight="1" x14ac:dyDescent="0.25">
      <c r="A5" s="27">
        <v>2026</v>
      </c>
      <c r="B5" s="27" t="s">
        <v>231</v>
      </c>
      <c r="C5" s="27" t="s">
        <v>198</v>
      </c>
      <c r="D5" s="27" t="s">
        <v>233</v>
      </c>
      <c r="E5" s="28">
        <v>18319</v>
      </c>
      <c r="F5" s="28">
        <v>8822</v>
      </c>
      <c r="G5" s="29">
        <v>0.48159999999999997</v>
      </c>
      <c r="H5" s="28">
        <v>2059</v>
      </c>
      <c r="I5" s="28">
        <v>2509</v>
      </c>
      <c r="J5" s="28">
        <v>2843</v>
      </c>
      <c r="K5" s="28">
        <v>1301</v>
      </c>
      <c r="L5" s="28">
        <v>109</v>
      </c>
      <c r="M5" s="28">
        <v>1</v>
      </c>
    </row>
    <row r="6" spans="1:13" ht="15" customHeight="1" x14ac:dyDescent="0.25">
      <c r="A6" s="24">
        <v>2025</v>
      </c>
      <c r="B6" s="24" t="s">
        <v>231</v>
      </c>
      <c r="C6" s="24" t="s">
        <v>198</v>
      </c>
      <c r="D6" s="24" t="s">
        <v>234</v>
      </c>
      <c r="E6" s="25">
        <v>51531</v>
      </c>
      <c r="F6" s="25">
        <v>19692</v>
      </c>
      <c r="G6" s="26">
        <v>0.3821</v>
      </c>
      <c r="H6" s="25">
        <v>3592</v>
      </c>
      <c r="I6" s="25">
        <v>4527</v>
      </c>
      <c r="J6" s="25">
        <v>6106</v>
      </c>
      <c r="K6" s="25">
        <v>4424</v>
      </c>
      <c r="L6" s="25">
        <v>1026</v>
      </c>
      <c r="M6" s="25">
        <v>17</v>
      </c>
    </row>
    <row r="7" spans="1:13" ht="15" customHeight="1" x14ac:dyDescent="0.25">
      <c r="A7" s="27">
        <v>2026</v>
      </c>
      <c r="B7" s="27" t="s">
        <v>231</v>
      </c>
      <c r="C7" s="27" t="s">
        <v>198</v>
      </c>
      <c r="D7" s="27" t="s">
        <v>234</v>
      </c>
      <c r="E7" s="28">
        <v>42710</v>
      </c>
      <c r="F7" s="28">
        <v>14786</v>
      </c>
      <c r="G7" s="29">
        <v>0.34620000000000001</v>
      </c>
      <c r="H7" s="28">
        <v>3008</v>
      </c>
      <c r="I7" s="28">
        <v>3804</v>
      </c>
      <c r="J7" s="28">
        <v>4693</v>
      </c>
      <c r="K7" s="28">
        <v>2862</v>
      </c>
      <c r="L7" s="28">
        <v>415</v>
      </c>
      <c r="M7" s="28">
        <v>4</v>
      </c>
    </row>
    <row r="8" spans="1:13" ht="15" customHeight="1" x14ac:dyDescent="0.25">
      <c r="A8" s="24">
        <v>2025</v>
      </c>
      <c r="B8" s="24" t="s">
        <v>231</v>
      </c>
      <c r="C8" s="24" t="s">
        <v>235</v>
      </c>
      <c r="D8" s="24" t="s">
        <v>232</v>
      </c>
      <c r="E8" s="25">
        <v>955</v>
      </c>
      <c r="F8" s="25">
        <v>182</v>
      </c>
      <c r="G8" s="26">
        <v>0.19059999999999999</v>
      </c>
      <c r="H8" s="25">
        <v>4</v>
      </c>
      <c r="I8" s="25">
        <v>9</v>
      </c>
      <c r="J8" s="25">
        <v>39</v>
      </c>
      <c r="K8" s="25">
        <v>82</v>
      </c>
      <c r="L8" s="25">
        <v>46</v>
      </c>
      <c r="M8" s="25">
        <v>2</v>
      </c>
    </row>
    <row r="9" spans="1:13" ht="15" customHeight="1" x14ac:dyDescent="0.25">
      <c r="A9" s="27">
        <v>2026</v>
      </c>
      <c r="B9" s="27" t="s">
        <v>231</v>
      </c>
      <c r="C9" s="27" t="s">
        <v>235</v>
      </c>
      <c r="D9" s="27" t="s">
        <v>232</v>
      </c>
      <c r="E9" s="28">
        <v>1144</v>
      </c>
      <c r="F9" s="28">
        <v>86</v>
      </c>
      <c r="G9" s="29">
        <v>7.5200000000000003E-2</v>
      </c>
      <c r="H9" s="28">
        <v>4</v>
      </c>
      <c r="I9" s="28">
        <v>3</v>
      </c>
      <c r="J9" s="28">
        <v>31</v>
      </c>
      <c r="K9" s="28">
        <v>38</v>
      </c>
      <c r="L9" s="28">
        <v>10</v>
      </c>
      <c r="M9" s="28">
        <v>0</v>
      </c>
    </row>
    <row r="10" spans="1:13" ht="15" customHeight="1" x14ac:dyDescent="0.25">
      <c r="A10" s="24">
        <v>2025</v>
      </c>
      <c r="B10" s="24" t="s">
        <v>231</v>
      </c>
      <c r="C10" s="24" t="s">
        <v>235</v>
      </c>
      <c r="D10" s="24" t="s">
        <v>233</v>
      </c>
      <c r="E10" s="25">
        <v>8616</v>
      </c>
      <c r="F10" s="25">
        <v>4018</v>
      </c>
      <c r="G10" s="26">
        <v>0.46629999999999999</v>
      </c>
      <c r="H10" s="25">
        <v>198</v>
      </c>
      <c r="I10" s="25">
        <v>704</v>
      </c>
      <c r="J10" s="25">
        <v>1420</v>
      </c>
      <c r="K10" s="25">
        <v>1294</v>
      </c>
      <c r="L10" s="25">
        <v>395</v>
      </c>
      <c r="M10" s="25">
        <v>7</v>
      </c>
    </row>
    <row r="11" spans="1:13" ht="15" customHeight="1" x14ac:dyDescent="0.25">
      <c r="A11" s="27">
        <v>2026</v>
      </c>
      <c r="B11" s="27" t="s">
        <v>231</v>
      </c>
      <c r="C11" s="27" t="s">
        <v>235</v>
      </c>
      <c r="D11" s="27" t="s">
        <v>233</v>
      </c>
      <c r="E11" s="28">
        <v>9816</v>
      </c>
      <c r="F11" s="28">
        <v>2380</v>
      </c>
      <c r="G11" s="29">
        <v>0.24249999999999999</v>
      </c>
      <c r="H11" s="28">
        <v>158</v>
      </c>
      <c r="I11" s="28">
        <v>626</v>
      </c>
      <c r="J11" s="28">
        <v>989</v>
      </c>
      <c r="K11" s="28">
        <v>516</v>
      </c>
      <c r="L11" s="28">
        <v>89</v>
      </c>
      <c r="M11" s="28">
        <v>2</v>
      </c>
    </row>
    <row r="12" spans="1:13" ht="15" customHeight="1" x14ac:dyDescent="0.25">
      <c r="A12" s="24">
        <v>2025</v>
      </c>
      <c r="B12" s="24" t="s">
        <v>231</v>
      </c>
      <c r="C12" s="24" t="s">
        <v>235</v>
      </c>
      <c r="D12" s="24" t="s">
        <v>234</v>
      </c>
      <c r="E12" s="25">
        <v>9571</v>
      </c>
      <c r="F12" s="25">
        <v>4200</v>
      </c>
      <c r="G12" s="26">
        <v>0.43880000000000002</v>
      </c>
      <c r="H12" s="25">
        <v>202</v>
      </c>
      <c r="I12" s="25">
        <v>713</v>
      </c>
      <c r="J12" s="25">
        <v>1459</v>
      </c>
      <c r="K12" s="25">
        <v>1376</v>
      </c>
      <c r="L12" s="25">
        <v>441</v>
      </c>
      <c r="M12" s="25">
        <v>9</v>
      </c>
    </row>
    <row r="13" spans="1:13" ht="15" customHeight="1" x14ac:dyDescent="0.25">
      <c r="A13" s="27">
        <v>2026</v>
      </c>
      <c r="B13" s="27" t="s">
        <v>231</v>
      </c>
      <c r="C13" s="27" t="s">
        <v>235</v>
      </c>
      <c r="D13" s="27" t="s">
        <v>234</v>
      </c>
      <c r="E13" s="28">
        <v>10960</v>
      </c>
      <c r="F13" s="28">
        <v>2466</v>
      </c>
      <c r="G13" s="29">
        <v>0.22500000000000001</v>
      </c>
      <c r="H13" s="28">
        <v>162</v>
      </c>
      <c r="I13" s="28">
        <v>629</v>
      </c>
      <c r="J13" s="28">
        <v>1020</v>
      </c>
      <c r="K13" s="28">
        <v>554</v>
      </c>
      <c r="L13" s="28">
        <v>99</v>
      </c>
      <c r="M13" s="28">
        <v>2</v>
      </c>
    </row>
    <row r="14" spans="1:13" ht="15" customHeight="1" x14ac:dyDescent="0.25">
      <c r="A14" s="24">
        <v>2025</v>
      </c>
      <c r="B14" s="24" t="s">
        <v>231</v>
      </c>
      <c r="C14" s="24" t="s">
        <v>234</v>
      </c>
      <c r="D14" s="24" t="s">
        <v>232</v>
      </c>
      <c r="E14" s="25">
        <v>31146</v>
      </c>
      <c r="F14" s="25">
        <v>9597</v>
      </c>
      <c r="G14" s="26">
        <v>0.30809999999999998</v>
      </c>
      <c r="H14" s="25">
        <v>1361</v>
      </c>
      <c r="I14" s="25">
        <v>1894</v>
      </c>
      <c r="J14" s="25">
        <v>2826</v>
      </c>
      <c r="K14" s="25">
        <v>2672</v>
      </c>
      <c r="L14" s="25">
        <v>826</v>
      </c>
      <c r="M14" s="25">
        <v>18</v>
      </c>
    </row>
    <row r="15" spans="1:13" ht="15" customHeight="1" x14ac:dyDescent="0.25">
      <c r="A15" s="27">
        <v>2026</v>
      </c>
      <c r="B15" s="27" t="s">
        <v>231</v>
      </c>
      <c r="C15" s="27" t="s">
        <v>234</v>
      </c>
      <c r="D15" s="27" t="s">
        <v>232</v>
      </c>
      <c r="E15" s="28">
        <v>27437</v>
      </c>
      <c r="F15" s="28">
        <v>6497</v>
      </c>
      <c r="G15" s="29">
        <v>0.23680000000000001</v>
      </c>
      <c r="H15" s="28">
        <v>991</v>
      </c>
      <c r="I15" s="28">
        <v>1407</v>
      </c>
      <c r="J15" s="28">
        <v>2061</v>
      </c>
      <c r="K15" s="28">
        <v>1711</v>
      </c>
      <c r="L15" s="28">
        <v>324</v>
      </c>
      <c r="M15" s="28">
        <v>3</v>
      </c>
    </row>
    <row r="16" spans="1:13" ht="15" customHeight="1" x14ac:dyDescent="0.25">
      <c r="A16" s="24">
        <v>2025</v>
      </c>
      <c r="B16" s="24" t="s">
        <v>231</v>
      </c>
      <c r="C16" s="24" t="s">
        <v>234</v>
      </c>
      <c r="D16" s="24" t="s">
        <v>233</v>
      </c>
      <c r="E16" s="25">
        <v>29956</v>
      </c>
      <c r="F16" s="25">
        <v>14295</v>
      </c>
      <c r="G16" s="26">
        <v>0.47720000000000001</v>
      </c>
      <c r="H16" s="25">
        <v>2433</v>
      </c>
      <c r="I16" s="25">
        <v>3346</v>
      </c>
      <c r="J16" s="25">
        <v>4739</v>
      </c>
      <c r="K16" s="25">
        <v>3128</v>
      </c>
      <c r="L16" s="25">
        <v>641</v>
      </c>
      <c r="M16" s="25">
        <v>8</v>
      </c>
    </row>
    <row r="17" spans="1:13" ht="15" customHeight="1" x14ac:dyDescent="0.25">
      <c r="A17" s="27">
        <v>2026</v>
      </c>
      <c r="B17" s="27" t="s">
        <v>231</v>
      </c>
      <c r="C17" s="27" t="s">
        <v>234</v>
      </c>
      <c r="D17" s="27" t="s">
        <v>233</v>
      </c>
      <c r="E17" s="28">
        <v>29738</v>
      </c>
      <c r="F17" s="28">
        <v>11962</v>
      </c>
      <c r="G17" s="29">
        <v>0.4022</v>
      </c>
      <c r="H17" s="28">
        <v>2420</v>
      </c>
      <c r="I17" s="28">
        <v>3427</v>
      </c>
      <c r="J17" s="28">
        <v>4040</v>
      </c>
      <c r="K17" s="28">
        <v>1870</v>
      </c>
      <c r="L17" s="28">
        <v>202</v>
      </c>
      <c r="M17" s="28">
        <v>3</v>
      </c>
    </row>
    <row r="18" spans="1:13" ht="15" customHeight="1" x14ac:dyDescent="0.25">
      <c r="A18" s="30">
        <v>2025</v>
      </c>
      <c r="B18" s="30" t="s">
        <v>231</v>
      </c>
      <c r="C18" s="30" t="s">
        <v>234</v>
      </c>
      <c r="D18" s="30" t="s">
        <v>234</v>
      </c>
      <c r="E18" s="31">
        <v>61102</v>
      </c>
      <c r="F18" s="31">
        <v>23892</v>
      </c>
      <c r="G18" s="32">
        <v>0.39100000000000001</v>
      </c>
      <c r="H18" s="31">
        <v>3794</v>
      </c>
      <c r="I18" s="31">
        <v>5240</v>
      </c>
      <c r="J18" s="31">
        <v>7565</v>
      </c>
      <c r="K18" s="31">
        <v>5800</v>
      </c>
      <c r="L18" s="31">
        <v>1467</v>
      </c>
      <c r="M18" s="31">
        <v>26</v>
      </c>
    </row>
    <row r="19" spans="1:13" ht="15" customHeight="1" x14ac:dyDescent="0.25">
      <c r="A19" s="22">
        <v>2026</v>
      </c>
      <c r="B19" s="22" t="s">
        <v>231</v>
      </c>
      <c r="C19" s="22" t="s">
        <v>234</v>
      </c>
      <c r="D19" s="22" t="s">
        <v>234</v>
      </c>
      <c r="E19" s="33">
        <v>57175</v>
      </c>
      <c r="F19" s="33">
        <v>18459</v>
      </c>
      <c r="G19" s="34">
        <v>0.32290000000000002</v>
      </c>
      <c r="H19" s="33">
        <v>3411</v>
      </c>
      <c r="I19" s="33">
        <v>4834</v>
      </c>
      <c r="J19" s="33">
        <v>6101</v>
      </c>
      <c r="K19" s="33">
        <v>3581</v>
      </c>
      <c r="L19" s="33">
        <v>526</v>
      </c>
      <c r="M19" s="33">
        <v>6</v>
      </c>
    </row>
    <row r="20" spans="1:13" ht="15" customHeight="1" x14ac:dyDescent="0.25">
      <c r="A20" s="24">
        <v>2025</v>
      </c>
      <c r="B20" s="24" t="s">
        <v>236</v>
      </c>
      <c r="C20" s="24" t="s">
        <v>198</v>
      </c>
      <c r="D20" s="24" t="s">
        <v>232</v>
      </c>
      <c r="E20" s="25">
        <v>12643</v>
      </c>
      <c r="F20" s="25">
        <v>6709</v>
      </c>
      <c r="G20" s="26">
        <v>0.53059999999999996</v>
      </c>
      <c r="H20" s="25">
        <v>1931</v>
      </c>
      <c r="I20" s="25">
        <v>1576</v>
      </c>
      <c r="J20" s="25">
        <v>1728</v>
      </c>
      <c r="K20" s="25">
        <v>1220</v>
      </c>
      <c r="L20" s="25">
        <v>249</v>
      </c>
      <c r="M20" s="25">
        <v>5</v>
      </c>
    </row>
    <row r="21" spans="1:13" ht="15" customHeight="1" x14ac:dyDescent="0.25">
      <c r="A21" s="27">
        <v>2026</v>
      </c>
      <c r="B21" s="27" t="s">
        <v>236</v>
      </c>
      <c r="C21" s="27" t="s">
        <v>198</v>
      </c>
      <c r="D21" s="27" t="s">
        <v>232</v>
      </c>
      <c r="E21" s="28">
        <v>12368</v>
      </c>
      <c r="F21" s="28">
        <v>6190</v>
      </c>
      <c r="G21" s="29">
        <v>0.50049999999999994</v>
      </c>
      <c r="H21" s="28">
        <v>1831</v>
      </c>
      <c r="I21" s="28">
        <v>1500</v>
      </c>
      <c r="J21" s="28">
        <v>1662</v>
      </c>
      <c r="K21" s="28">
        <v>1025</v>
      </c>
      <c r="L21" s="28">
        <v>169</v>
      </c>
      <c r="M21" s="28">
        <v>3</v>
      </c>
    </row>
    <row r="22" spans="1:13" ht="15" customHeight="1" x14ac:dyDescent="0.25">
      <c r="A22" s="24">
        <v>2025</v>
      </c>
      <c r="B22" s="24" t="s">
        <v>236</v>
      </c>
      <c r="C22" s="24" t="s">
        <v>198</v>
      </c>
      <c r="D22" s="24" t="s">
        <v>233</v>
      </c>
      <c r="E22" s="25">
        <v>16191</v>
      </c>
      <c r="F22" s="25">
        <v>10712</v>
      </c>
      <c r="G22" s="26">
        <v>0.66159999999999997</v>
      </c>
      <c r="H22" s="25">
        <v>4221</v>
      </c>
      <c r="I22" s="25">
        <v>2715</v>
      </c>
      <c r="J22" s="25">
        <v>2478</v>
      </c>
      <c r="K22" s="25">
        <v>1157</v>
      </c>
      <c r="L22" s="25">
        <v>140</v>
      </c>
      <c r="M22" s="25">
        <v>1</v>
      </c>
    </row>
    <row r="23" spans="1:13" ht="15" customHeight="1" x14ac:dyDescent="0.25">
      <c r="A23" s="27">
        <v>2026</v>
      </c>
      <c r="B23" s="27" t="s">
        <v>236</v>
      </c>
      <c r="C23" s="27" t="s">
        <v>198</v>
      </c>
      <c r="D23" s="27" t="s">
        <v>233</v>
      </c>
      <c r="E23" s="28">
        <v>16015</v>
      </c>
      <c r="F23" s="28">
        <v>10626</v>
      </c>
      <c r="G23" s="29">
        <v>0.66349999999999998</v>
      </c>
      <c r="H23" s="28">
        <v>4333</v>
      </c>
      <c r="I23" s="28">
        <v>2773</v>
      </c>
      <c r="J23" s="28">
        <v>2459</v>
      </c>
      <c r="K23" s="28">
        <v>972</v>
      </c>
      <c r="L23" s="28">
        <v>89</v>
      </c>
      <c r="M23" s="28">
        <v>0</v>
      </c>
    </row>
    <row r="24" spans="1:13" ht="15" customHeight="1" x14ac:dyDescent="0.25">
      <c r="A24" s="24">
        <v>2025</v>
      </c>
      <c r="B24" s="24" t="s">
        <v>236</v>
      </c>
      <c r="C24" s="24" t="s">
        <v>198</v>
      </c>
      <c r="D24" s="24" t="s">
        <v>234</v>
      </c>
      <c r="E24" s="25">
        <v>28834</v>
      </c>
      <c r="F24" s="25">
        <v>17421</v>
      </c>
      <c r="G24" s="26">
        <v>0.60419999999999996</v>
      </c>
      <c r="H24" s="25">
        <v>6152</v>
      </c>
      <c r="I24" s="25">
        <v>4291</v>
      </c>
      <c r="J24" s="25">
        <v>4206</v>
      </c>
      <c r="K24" s="25">
        <v>2377</v>
      </c>
      <c r="L24" s="25">
        <v>389</v>
      </c>
      <c r="M24" s="25">
        <v>6</v>
      </c>
    </row>
    <row r="25" spans="1:13" ht="15" customHeight="1" x14ac:dyDescent="0.25">
      <c r="A25" s="27">
        <v>2026</v>
      </c>
      <c r="B25" s="27" t="s">
        <v>236</v>
      </c>
      <c r="C25" s="27" t="s">
        <v>198</v>
      </c>
      <c r="D25" s="27" t="s">
        <v>234</v>
      </c>
      <c r="E25" s="28">
        <v>28383</v>
      </c>
      <c r="F25" s="28">
        <v>16816</v>
      </c>
      <c r="G25" s="29">
        <v>0.59250000000000003</v>
      </c>
      <c r="H25" s="28">
        <v>6164</v>
      </c>
      <c r="I25" s="28">
        <v>4273</v>
      </c>
      <c r="J25" s="28">
        <v>4121</v>
      </c>
      <c r="K25" s="28">
        <v>1997</v>
      </c>
      <c r="L25" s="28">
        <v>258</v>
      </c>
      <c r="M25" s="28">
        <v>3</v>
      </c>
    </row>
    <row r="26" spans="1:13" ht="15" customHeight="1" x14ac:dyDescent="0.25">
      <c r="A26" s="24">
        <v>2025</v>
      </c>
      <c r="B26" s="24" t="s">
        <v>236</v>
      </c>
      <c r="C26" s="24" t="s">
        <v>235</v>
      </c>
      <c r="D26" s="24" t="s">
        <v>232</v>
      </c>
      <c r="E26" s="25">
        <v>130</v>
      </c>
      <c r="F26" s="25">
        <v>48</v>
      </c>
      <c r="G26" s="26">
        <v>0.36919999999999997</v>
      </c>
      <c r="H26" s="25">
        <v>3</v>
      </c>
      <c r="I26" s="25">
        <v>6</v>
      </c>
      <c r="J26" s="25">
        <v>16</v>
      </c>
      <c r="K26" s="25">
        <v>17</v>
      </c>
      <c r="L26" s="25">
        <v>6</v>
      </c>
      <c r="M26" s="25">
        <v>0</v>
      </c>
    </row>
    <row r="27" spans="1:13" ht="15" customHeight="1" x14ac:dyDescent="0.25">
      <c r="A27" s="27">
        <v>2026</v>
      </c>
      <c r="B27" s="27" t="s">
        <v>236</v>
      </c>
      <c r="C27" s="27" t="s">
        <v>235</v>
      </c>
      <c r="D27" s="27" t="s">
        <v>232</v>
      </c>
      <c r="E27" s="28">
        <v>205</v>
      </c>
      <c r="F27" s="28">
        <v>32</v>
      </c>
      <c r="G27" s="29">
        <v>0.15609999999999999</v>
      </c>
      <c r="H27" s="28">
        <v>0</v>
      </c>
      <c r="I27" s="28">
        <v>7</v>
      </c>
      <c r="J27" s="28">
        <v>12</v>
      </c>
      <c r="K27" s="28">
        <v>11</v>
      </c>
      <c r="L27" s="28">
        <v>2</v>
      </c>
      <c r="M27" s="28">
        <v>0</v>
      </c>
    </row>
    <row r="28" spans="1:13" ht="15" customHeight="1" x14ac:dyDescent="0.25">
      <c r="A28" s="24">
        <v>2025</v>
      </c>
      <c r="B28" s="24" t="s">
        <v>236</v>
      </c>
      <c r="C28" s="24" t="s">
        <v>235</v>
      </c>
      <c r="D28" s="24" t="s">
        <v>233</v>
      </c>
      <c r="E28" s="25">
        <v>258</v>
      </c>
      <c r="F28" s="25">
        <v>150</v>
      </c>
      <c r="G28" s="26">
        <v>0.58140000000000003</v>
      </c>
      <c r="H28" s="25">
        <v>7</v>
      </c>
      <c r="I28" s="25">
        <v>29</v>
      </c>
      <c r="J28" s="25">
        <v>59</v>
      </c>
      <c r="K28" s="25">
        <v>39</v>
      </c>
      <c r="L28" s="25">
        <v>16</v>
      </c>
      <c r="M28" s="25">
        <v>0</v>
      </c>
    </row>
    <row r="29" spans="1:13" ht="15" customHeight="1" x14ac:dyDescent="0.25">
      <c r="A29" s="27">
        <v>2026</v>
      </c>
      <c r="B29" s="27" t="s">
        <v>236</v>
      </c>
      <c r="C29" s="27" t="s">
        <v>235</v>
      </c>
      <c r="D29" s="27" t="s">
        <v>233</v>
      </c>
      <c r="E29" s="28">
        <v>423</v>
      </c>
      <c r="F29" s="28">
        <v>187</v>
      </c>
      <c r="G29" s="29">
        <v>0.44209999999999999</v>
      </c>
      <c r="H29" s="28">
        <v>13</v>
      </c>
      <c r="I29" s="28">
        <v>78</v>
      </c>
      <c r="J29" s="28">
        <v>69</v>
      </c>
      <c r="K29" s="28">
        <v>25</v>
      </c>
      <c r="L29" s="28">
        <v>2</v>
      </c>
      <c r="M29" s="28">
        <v>0</v>
      </c>
    </row>
    <row r="30" spans="1:13" ht="15" customHeight="1" x14ac:dyDescent="0.25">
      <c r="A30" s="24">
        <v>2025</v>
      </c>
      <c r="B30" s="24" t="s">
        <v>236</v>
      </c>
      <c r="C30" s="24" t="s">
        <v>235</v>
      </c>
      <c r="D30" s="24" t="s">
        <v>234</v>
      </c>
      <c r="E30" s="25">
        <v>388</v>
      </c>
      <c r="F30" s="25">
        <v>198</v>
      </c>
      <c r="G30" s="26">
        <v>0.51029999999999998</v>
      </c>
      <c r="H30" s="25">
        <v>10</v>
      </c>
      <c r="I30" s="25">
        <v>35</v>
      </c>
      <c r="J30" s="25">
        <v>75</v>
      </c>
      <c r="K30" s="25">
        <v>56</v>
      </c>
      <c r="L30" s="25">
        <v>22</v>
      </c>
      <c r="M30" s="25">
        <v>0</v>
      </c>
    </row>
    <row r="31" spans="1:13" ht="15" customHeight="1" x14ac:dyDescent="0.25">
      <c r="A31" s="27">
        <v>2026</v>
      </c>
      <c r="B31" s="27" t="s">
        <v>236</v>
      </c>
      <c r="C31" s="27" t="s">
        <v>235</v>
      </c>
      <c r="D31" s="27" t="s">
        <v>234</v>
      </c>
      <c r="E31" s="28">
        <v>628</v>
      </c>
      <c r="F31" s="28">
        <v>219</v>
      </c>
      <c r="G31" s="29">
        <v>0.34870000000000001</v>
      </c>
      <c r="H31" s="28">
        <v>13</v>
      </c>
      <c r="I31" s="28">
        <v>85</v>
      </c>
      <c r="J31" s="28">
        <v>81</v>
      </c>
      <c r="K31" s="28">
        <v>36</v>
      </c>
      <c r="L31" s="28">
        <v>4</v>
      </c>
      <c r="M31" s="28">
        <v>0</v>
      </c>
    </row>
    <row r="32" spans="1:13" ht="15" customHeight="1" x14ac:dyDescent="0.25">
      <c r="A32" s="24">
        <v>2025</v>
      </c>
      <c r="B32" s="24" t="s">
        <v>236</v>
      </c>
      <c r="C32" s="24" t="s">
        <v>234</v>
      </c>
      <c r="D32" s="24" t="s">
        <v>232</v>
      </c>
      <c r="E32" s="25">
        <v>12773</v>
      </c>
      <c r="F32" s="25">
        <v>6757</v>
      </c>
      <c r="G32" s="26">
        <v>0.52900000000000003</v>
      </c>
      <c r="H32" s="25">
        <v>1934</v>
      </c>
      <c r="I32" s="25">
        <v>1582</v>
      </c>
      <c r="J32" s="25">
        <v>1744</v>
      </c>
      <c r="K32" s="25">
        <v>1237</v>
      </c>
      <c r="L32" s="25">
        <v>255</v>
      </c>
      <c r="M32" s="25">
        <v>5</v>
      </c>
    </row>
    <row r="33" spans="1:13" ht="15" customHeight="1" x14ac:dyDescent="0.25">
      <c r="A33" s="27">
        <v>2026</v>
      </c>
      <c r="B33" s="27" t="s">
        <v>236</v>
      </c>
      <c r="C33" s="27" t="s">
        <v>234</v>
      </c>
      <c r="D33" s="27" t="s">
        <v>232</v>
      </c>
      <c r="E33" s="28">
        <v>12675</v>
      </c>
      <c r="F33" s="28">
        <v>6249</v>
      </c>
      <c r="G33" s="29">
        <v>0.49299999999999999</v>
      </c>
      <c r="H33" s="28">
        <v>1832</v>
      </c>
      <c r="I33" s="28">
        <v>1516</v>
      </c>
      <c r="J33" s="28">
        <v>1689</v>
      </c>
      <c r="K33" s="28">
        <v>1038</v>
      </c>
      <c r="L33" s="28">
        <v>171</v>
      </c>
      <c r="M33" s="28">
        <v>3</v>
      </c>
    </row>
    <row r="34" spans="1:13" ht="15" customHeight="1" x14ac:dyDescent="0.25">
      <c r="A34" s="24">
        <v>2025</v>
      </c>
      <c r="B34" s="24" t="s">
        <v>236</v>
      </c>
      <c r="C34" s="24" t="s">
        <v>234</v>
      </c>
      <c r="D34" s="24" t="s">
        <v>233</v>
      </c>
      <c r="E34" s="25">
        <v>16449</v>
      </c>
      <c r="F34" s="25">
        <v>10862</v>
      </c>
      <c r="G34" s="26">
        <v>0.6603</v>
      </c>
      <c r="H34" s="25">
        <v>4228</v>
      </c>
      <c r="I34" s="25">
        <v>2744</v>
      </c>
      <c r="J34" s="25">
        <v>2537</v>
      </c>
      <c r="K34" s="25">
        <v>1196</v>
      </c>
      <c r="L34" s="25">
        <v>156</v>
      </c>
      <c r="M34" s="25">
        <v>1</v>
      </c>
    </row>
    <row r="35" spans="1:13" ht="15" customHeight="1" x14ac:dyDescent="0.25">
      <c r="A35" s="27">
        <v>2026</v>
      </c>
      <c r="B35" s="27" t="s">
        <v>236</v>
      </c>
      <c r="C35" s="27" t="s">
        <v>234</v>
      </c>
      <c r="D35" s="27" t="s">
        <v>233</v>
      </c>
      <c r="E35" s="28">
        <v>16540</v>
      </c>
      <c r="F35" s="28">
        <v>10836</v>
      </c>
      <c r="G35" s="29">
        <v>0.65510000000000002</v>
      </c>
      <c r="H35" s="28">
        <v>4354</v>
      </c>
      <c r="I35" s="28">
        <v>2856</v>
      </c>
      <c r="J35" s="28">
        <v>2535</v>
      </c>
      <c r="K35" s="28">
        <v>1000</v>
      </c>
      <c r="L35" s="28">
        <v>91</v>
      </c>
      <c r="M35" s="28">
        <v>0</v>
      </c>
    </row>
    <row r="36" spans="1:13" ht="15" customHeight="1" x14ac:dyDescent="0.25">
      <c r="A36" s="30">
        <v>2025</v>
      </c>
      <c r="B36" s="30" t="s">
        <v>236</v>
      </c>
      <c r="C36" s="30" t="s">
        <v>234</v>
      </c>
      <c r="D36" s="30" t="s">
        <v>234</v>
      </c>
      <c r="E36" s="31">
        <v>29222</v>
      </c>
      <c r="F36" s="31">
        <v>17619</v>
      </c>
      <c r="G36" s="32">
        <v>0.60289999999999999</v>
      </c>
      <c r="H36" s="31">
        <v>6162</v>
      </c>
      <c r="I36" s="31">
        <v>4326</v>
      </c>
      <c r="J36" s="31">
        <v>4281</v>
      </c>
      <c r="K36" s="31">
        <v>2433</v>
      </c>
      <c r="L36" s="31">
        <v>411</v>
      </c>
      <c r="M36" s="31">
        <v>6</v>
      </c>
    </row>
    <row r="37" spans="1:13" ht="15" customHeight="1" x14ac:dyDescent="0.25">
      <c r="A37" s="22">
        <v>2026</v>
      </c>
      <c r="B37" s="22" t="s">
        <v>236</v>
      </c>
      <c r="C37" s="22" t="s">
        <v>234</v>
      </c>
      <c r="D37" s="22" t="s">
        <v>234</v>
      </c>
      <c r="E37" s="33">
        <v>29215</v>
      </c>
      <c r="F37" s="33">
        <v>17085</v>
      </c>
      <c r="G37" s="34">
        <v>0.58479999999999999</v>
      </c>
      <c r="H37" s="33">
        <v>6186</v>
      </c>
      <c r="I37" s="33">
        <v>4372</v>
      </c>
      <c r="J37" s="33">
        <v>4224</v>
      </c>
      <c r="K37" s="33">
        <v>2038</v>
      </c>
      <c r="L37" s="33">
        <v>262</v>
      </c>
      <c r="M37" s="33">
        <v>3</v>
      </c>
    </row>
    <row r="38" spans="1:13" ht="15" customHeight="1" x14ac:dyDescent="0.25">
      <c r="A38" s="24">
        <v>2025</v>
      </c>
      <c r="B38" s="24" t="s">
        <v>237</v>
      </c>
      <c r="C38" s="24" t="s">
        <v>198</v>
      </c>
      <c r="D38" s="24" t="s">
        <v>232</v>
      </c>
      <c r="E38" s="25">
        <v>42834</v>
      </c>
      <c r="F38" s="25">
        <v>16124</v>
      </c>
      <c r="G38" s="26">
        <v>0.37640000000000001</v>
      </c>
      <c r="H38" s="25">
        <v>3288</v>
      </c>
      <c r="I38" s="25">
        <v>3461</v>
      </c>
      <c r="J38" s="25">
        <v>4515</v>
      </c>
      <c r="K38" s="25">
        <v>3810</v>
      </c>
      <c r="L38" s="25">
        <v>1029</v>
      </c>
      <c r="M38" s="25">
        <v>21</v>
      </c>
    </row>
    <row r="39" spans="1:13" ht="15" customHeight="1" x14ac:dyDescent="0.25">
      <c r="A39" s="27">
        <v>2026</v>
      </c>
      <c r="B39" s="27" t="s">
        <v>237</v>
      </c>
      <c r="C39" s="27" t="s">
        <v>198</v>
      </c>
      <c r="D39" s="27" t="s">
        <v>232</v>
      </c>
      <c r="E39" s="28">
        <v>36759</v>
      </c>
      <c r="F39" s="28">
        <v>12154</v>
      </c>
      <c r="G39" s="29">
        <v>0.3306</v>
      </c>
      <c r="H39" s="28">
        <v>2780</v>
      </c>
      <c r="I39" s="28">
        <v>2795</v>
      </c>
      <c r="J39" s="28">
        <v>3512</v>
      </c>
      <c r="K39" s="28">
        <v>2586</v>
      </c>
      <c r="L39" s="28">
        <v>475</v>
      </c>
      <c r="M39" s="28">
        <v>6</v>
      </c>
    </row>
    <row r="40" spans="1:13" ht="15" customHeight="1" x14ac:dyDescent="0.25">
      <c r="A40" s="24">
        <v>2025</v>
      </c>
      <c r="B40" s="24" t="s">
        <v>237</v>
      </c>
      <c r="C40" s="24" t="s">
        <v>198</v>
      </c>
      <c r="D40" s="24" t="s">
        <v>233</v>
      </c>
      <c r="E40" s="25">
        <v>37531</v>
      </c>
      <c r="F40" s="25">
        <v>20989</v>
      </c>
      <c r="G40" s="26">
        <v>0.55920000000000003</v>
      </c>
      <c r="H40" s="25">
        <v>6456</v>
      </c>
      <c r="I40" s="25">
        <v>5357</v>
      </c>
      <c r="J40" s="25">
        <v>5797</v>
      </c>
      <c r="K40" s="25">
        <v>2991</v>
      </c>
      <c r="L40" s="25">
        <v>386</v>
      </c>
      <c r="M40" s="25">
        <v>2</v>
      </c>
    </row>
    <row r="41" spans="1:13" ht="15" customHeight="1" x14ac:dyDescent="0.25">
      <c r="A41" s="27">
        <v>2026</v>
      </c>
      <c r="B41" s="27" t="s">
        <v>237</v>
      </c>
      <c r="C41" s="27" t="s">
        <v>198</v>
      </c>
      <c r="D41" s="27" t="s">
        <v>233</v>
      </c>
      <c r="E41" s="28">
        <v>34334</v>
      </c>
      <c r="F41" s="28">
        <v>19448</v>
      </c>
      <c r="G41" s="29">
        <v>0.56640000000000001</v>
      </c>
      <c r="H41" s="28">
        <v>6392</v>
      </c>
      <c r="I41" s="28">
        <v>5282</v>
      </c>
      <c r="J41" s="28">
        <v>5302</v>
      </c>
      <c r="K41" s="28">
        <v>2273</v>
      </c>
      <c r="L41" s="28">
        <v>198</v>
      </c>
      <c r="M41" s="28">
        <v>1</v>
      </c>
    </row>
    <row r="42" spans="1:13" ht="15" customHeight="1" x14ac:dyDescent="0.25">
      <c r="A42" s="24">
        <v>2025</v>
      </c>
      <c r="B42" s="24" t="s">
        <v>237</v>
      </c>
      <c r="C42" s="24" t="s">
        <v>198</v>
      </c>
      <c r="D42" s="24" t="s">
        <v>234</v>
      </c>
      <c r="E42" s="25">
        <v>80365</v>
      </c>
      <c r="F42" s="25">
        <v>37113</v>
      </c>
      <c r="G42" s="26">
        <v>0.46179999999999999</v>
      </c>
      <c r="H42" s="25">
        <v>9744</v>
      </c>
      <c r="I42" s="25">
        <v>8818</v>
      </c>
      <c r="J42" s="25">
        <v>10312</v>
      </c>
      <c r="K42" s="25">
        <v>6801</v>
      </c>
      <c r="L42" s="25">
        <v>1415</v>
      </c>
      <c r="M42" s="25">
        <v>23</v>
      </c>
    </row>
    <row r="43" spans="1:13" ht="15" customHeight="1" x14ac:dyDescent="0.25">
      <c r="A43" s="27">
        <v>2026</v>
      </c>
      <c r="B43" s="27" t="s">
        <v>237</v>
      </c>
      <c r="C43" s="27" t="s">
        <v>198</v>
      </c>
      <c r="D43" s="27" t="s">
        <v>234</v>
      </c>
      <c r="E43" s="28">
        <v>71093</v>
      </c>
      <c r="F43" s="28">
        <v>31602</v>
      </c>
      <c r="G43" s="29">
        <v>0.44450000000000001</v>
      </c>
      <c r="H43" s="28">
        <v>9172</v>
      </c>
      <c r="I43" s="28">
        <v>8077</v>
      </c>
      <c r="J43" s="28">
        <v>8814</v>
      </c>
      <c r="K43" s="28">
        <v>4859</v>
      </c>
      <c r="L43" s="28">
        <v>673</v>
      </c>
      <c r="M43" s="28">
        <v>7</v>
      </c>
    </row>
    <row r="44" spans="1:13" ht="15" customHeight="1" x14ac:dyDescent="0.25">
      <c r="A44" s="24">
        <v>2025</v>
      </c>
      <c r="B44" s="24" t="s">
        <v>237</v>
      </c>
      <c r="C44" s="24" t="s">
        <v>235</v>
      </c>
      <c r="D44" s="24" t="s">
        <v>232</v>
      </c>
      <c r="E44" s="25">
        <v>1085</v>
      </c>
      <c r="F44" s="25">
        <v>230</v>
      </c>
      <c r="G44" s="26">
        <v>0.21199999999999999</v>
      </c>
      <c r="H44" s="25">
        <v>7</v>
      </c>
      <c r="I44" s="25">
        <v>15</v>
      </c>
      <c r="J44" s="25">
        <v>55</v>
      </c>
      <c r="K44" s="25">
        <v>99</v>
      </c>
      <c r="L44" s="25">
        <v>52</v>
      </c>
      <c r="M44" s="25">
        <v>2</v>
      </c>
    </row>
    <row r="45" spans="1:13" ht="15" customHeight="1" x14ac:dyDescent="0.25">
      <c r="A45" s="27">
        <v>2026</v>
      </c>
      <c r="B45" s="27" t="s">
        <v>237</v>
      </c>
      <c r="C45" s="27" t="s">
        <v>235</v>
      </c>
      <c r="D45" s="27" t="s">
        <v>232</v>
      </c>
      <c r="E45" s="28">
        <v>1349</v>
      </c>
      <c r="F45" s="28">
        <v>118</v>
      </c>
      <c r="G45" s="29">
        <v>8.7499999999999994E-2</v>
      </c>
      <c r="H45" s="28">
        <v>4</v>
      </c>
      <c r="I45" s="28">
        <v>10</v>
      </c>
      <c r="J45" s="28">
        <v>43</v>
      </c>
      <c r="K45" s="28">
        <v>49</v>
      </c>
      <c r="L45" s="28">
        <v>12</v>
      </c>
      <c r="M45" s="28">
        <v>0</v>
      </c>
    </row>
    <row r="46" spans="1:13" ht="15" customHeight="1" x14ac:dyDescent="0.25">
      <c r="A46" s="24">
        <v>2025</v>
      </c>
      <c r="B46" s="24" t="s">
        <v>237</v>
      </c>
      <c r="C46" s="24" t="s">
        <v>235</v>
      </c>
      <c r="D46" s="24" t="s">
        <v>233</v>
      </c>
      <c r="E46" s="25">
        <v>8874</v>
      </c>
      <c r="F46" s="25">
        <v>4168</v>
      </c>
      <c r="G46" s="26">
        <v>0.46970000000000001</v>
      </c>
      <c r="H46" s="25">
        <v>205</v>
      </c>
      <c r="I46" s="25">
        <v>733</v>
      </c>
      <c r="J46" s="25">
        <v>1479</v>
      </c>
      <c r="K46" s="25">
        <v>1333</v>
      </c>
      <c r="L46" s="25">
        <v>411</v>
      </c>
      <c r="M46" s="25">
        <v>7</v>
      </c>
    </row>
    <row r="47" spans="1:13" ht="15" customHeight="1" x14ac:dyDescent="0.25">
      <c r="A47" s="27">
        <v>2026</v>
      </c>
      <c r="B47" s="27" t="s">
        <v>237</v>
      </c>
      <c r="C47" s="27" t="s">
        <v>235</v>
      </c>
      <c r="D47" s="27" t="s">
        <v>233</v>
      </c>
      <c r="E47" s="28">
        <v>10239</v>
      </c>
      <c r="F47" s="28">
        <v>2567</v>
      </c>
      <c r="G47" s="29">
        <v>0.25069999999999998</v>
      </c>
      <c r="H47" s="28">
        <v>171</v>
      </c>
      <c r="I47" s="28">
        <v>704</v>
      </c>
      <c r="J47" s="28">
        <v>1058</v>
      </c>
      <c r="K47" s="28">
        <v>541</v>
      </c>
      <c r="L47" s="28">
        <v>91</v>
      </c>
      <c r="M47" s="28">
        <v>2</v>
      </c>
    </row>
    <row r="48" spans="1:13" ht="15" customHeight="1" x14ac:dyDescent="0.25">
      <c r="A48" s="24">
        <v>2025</v>
      </c>
      <c r="B48" s="24" t="s">
        <v>237</v>
      </c>
      <c r="C48" s="24" t="s">
        <v>235</v>
      </c>
      <c r="D48" s="24" t="s">
        <v>234</v>
      </c>
      <c r="E48" s="25">
        <v>9959</v>
      </c>
      <c r="F48" s="25">
        <v>4398</v>
      </c>
      <c r="G48" s="26">
        <v>0.44159999999999999</v>
      </c>
      <c r="H48" s="25">
        <v>212</v>
      </c>
      <c r="I48" s="25">
        <v>748</v>
      </c>
      <c r="J48" s="25">
        <v>1534</v>
      </c>
      <c r="K48" s="25">
        <v>1432</v>
      </c>
      <c r="L48" s="25">
        <v>463</v>
      </c>
      <c r="M48" s="25">
        <v>9</v>
      </c>
    </row>
    <row r="49" spans="1:13" ht="15" customHeight="1" x14ac:dyDescent="0.25">
      <c r="A49" s="27">
        <v>2026</v>
      </c>
      <c r="B49" s="27" t="s">
        <v>237</v>
      </c>
      <c r="C49" s="27" t="s">
        <v>235</v>
      </c>
      <c r="D49" s="27" t="s">
        <v>234</v>
      </c>
      <c r="E49" s="28">
        <v>11588</v>
      </c>
      <c r="F49" s="28">
        <v>2685</v>
      </c>
      <c r="G49" s="29">
        <v>0.23169999999999999</v>
      </c>
      <c r="H49" s="28">
        <v>175</v>
      </c>
      <c r="I49" s="28">
        <v>714</v>
      </c>
      <c r="J49" s="28">
        <v>1101</v>
      </c>
      <c r="K49" s="28">
        <v>590</v>
      </c>
      <c r="L49" s="28">
        <v>103</v>
      </c>
      <c r="M49" s="28">
        <v>2</v>
      </c>
    </row>
    <row r="50" spans="1:13" ht="15" customHeight="1" x14ac:dyDescent="0.25">
      <c r="A50" s="24">
        <v>2025</v>
      </c>
      <c r="B50" s="24" t="s">
        <v>237</v>
      </c>
      <c r="C50" s="24" t="s">
        <v>234</v>
      </c>
      <c r="D50" s="24" t="s">
        <v>232</v>
      </c>
      <c r="E50" s="25">
        <v>43919</v>
      </c>
      <c r="F50" s="25">
        <v>16354</v>
      </c>
      <c r="G50" s="26">
        <v>0.37240000000000001</v>
      </c>
      <c r="H50" s="25">
        <v>3295</v>
      </c>
      <c r="I50" s="25">
        <v>3476</v>
      </c>
      <c r="J50" s="25">
        <v>4570</v>
      </c>
      <c r="K50" s="25">
        <v>3909</v>
      </c>
      <c r="L50" s="25">
        <v>1081</v>
      </c>
      <c r="M50" s="25">
        <v>23</v>
      </c>
    </row>
    <row r="51" spans="1:13" ht="15" customHeight="1" x14ac:dyDescent="0.25">
      <c r="A51" s="27">
        <v>2026</v>
      </c>
      <c r="B51" s="27" t="s">
        <v>237</v>
      </c>
      <c r="C51" s="27" t="s">
        <v>234</v>
      </c>
      <c r="D51" s="27" t="s">
        <v>232</v>
      </c>
      <c r="E51" s="28">
        <v>40112</v>
      </c>
      <c r="F51" s="28">
        <v>12746</v>
      </c>
      <c r="G51" s="29">
        <v>0.31780000000000003</v>
      </c>
      <c r="H51" s="28">
        <v>2823</v>
      </c>
      <c r="I51" s="28">
        <v>2923</v>
      </c>
      <c r="J51" s="28">
        <v>3750</v>
      </c>
      <c r="K51" s="28">
        <v>2749</v>
      </c>
      <c r="L51" s="28">
        <v>495</v>
      </c>
      <c r="M51" s="28">
        <v>6</v>
      </c>
    </row>
    <row r="52" spans="1:13" ht="15" customHeight="1" x14ac:dyDescent="0.25">
      <c r="A52" s="24">
        <v>2025</v>
      </c>
      <c r="B52" s="24" t="s">
        <v>237</v>
      </c>
      <c r="C52" s="24" t="s">
        <v>234</v>
      </c>
      <c r="D52" s="24" t="s">
        <v>233</v>
      </c>
      <c r="E52" s="25">
        <v>46405</v>
      </c>
      <c r="F52" s="25">
        <v>25157</v>
      </c>
      <c r="G52" s="26">
        <v>0.54210000000000003</v>
      </c>
      <c r="H52" s="25">
        <v>6661</v>
      </c>
      <c r="I52" s="25">
        <v>6090</v>
      </c>
      <c r="J52" s="25">
        <v>7276</v>
      </c>
      <c r="K52" s="25">
        <v>4324</v>
      </c>
      <c r="L52" s="25">
        <v>797</v>
      </c>
      <c r="M52" s="25">
        <v>9</v>
      </c>
    </row>
    <row r="53" spans="1:13" ht="15" customHeight="1" x14ac:dyDescent="0.25">
      <c r="A53" s="27">
        <v>2026</v>
      </c>
      <c r="B53" s="27" t="s">
        <v>237</v>
      </c>
      <c r="C53" s="27" t="s">
        <v>234</v>
      </c>
      <c r="D53" s="27" t="s">
        <v>233</v>
      </c>
      <c r="E53" s="28">
        <v>46278</v>
      </c>
      <c r="F53" s="28">
        <v>22798</v>
      </c>
      <c r="G53" s="29">
        <v>0.49259999999999998</v>
      </c>
      <c r="H53" s="28">
        <v>6774</v>
      </c>
      <c r="I53" s="28">
        <v>6283</v>
      </c>
      <c r="J53" s="28">
        <v>6575</v>
      </c>
      <c r="K53" s="28">
        <v>2870</v>
      </c>
      <c r="L53" s="28">
        <v>293</v>
      </c>
      <c r="M53" s="28">
        <v>3</v>
      </c>
    </row>
    <row r="54" spans="1:13" ht="15" customHeight="1" x14ac:dyDescent="0.25">
      <c r="A54" s="30">
        <v>2025</v>
      </c>
      <c r="B54" s="30" t="s">
        <v>237</v>
      </c>
      <c r="C54" s="30" t="s">
        <v>234</v>
      </c>
      <c r="D54" s="30" t="s">
        <v>234</v>
      </c>
      <c r="E54" s="31">
        <v>90324</v>
      </c>
      <c r="F54" s="31">
        <v>41511</v>
      </c>
      <c r="G54" s="32">
        <v>0.45960000000000001</v>
      </c>
      <c r="H54" s="31">
        <v>9956</v>
      </c>
      <c r="I54" s="31">
        <v>9566</v>
      </c>
      <c r="J54" s="31">
        <v>11846</v>
      </c>
      <c r="K54" s="31">
        <v>8233</v>
      </c>
      <c r="L54" s="31">
        <v>1878</v>
      </c>
      <c r="M54" s="31">
        <v>32</v>
      </c>
    </row>
    <row r="55" spans="1:13" ht="15" customHeight="1" x14ac:dyDescent="0.25">
      <c r="A55" s="22">
        <v>2026</v>
      </c>
      <c r="B55" s="22" t="s">
        <v>237</v>
      </c>
      <c r="C55" s="22" t="s">
        <v>234</v>
      </c>
      <c r="D55" s="22" t="s">
        <v>234</v>
      </c>
      <c r="E55" s="33">
        <v>86390</v>
      </c>
      <c r="F55" s="33">
        <v>35544</v>
      </c>
      <c r="G55" s="34">
        <v>0.41139999999999999</v>
      </c>
      <c r="H55" s="33">
        <v>9597</v>
      </c>
      <c r="I55" s="33">
        <v>9206</v>
      </c>
      <c r="J55" s="33">
        <v>10325</v>
      </c>
      <c r="K55" s="33">
        <v>5619</v>
      </c>
      <c r="L55" s="33">
        <v>788</v>
      </c>
      <c r="M55" s="33">
        <v>9</v>
      </c>
    </row>
    <row r="56" spans="1:13" ht="15" customHeight="1" x14ac:dyDescent="0.25">
      <c r="A56" s="24">
        <v>2025</v>
      </c>
      <c r="B56" s="24" t="s">
        <v>238</v>
      </c>
      <c r="C56" s="24" t="s">
        <v>198</v>
      </c>
      <c r="D56" s="24" t="s">
        <v>232</v>
      </c>
      <c r="E56" s="25">
        <v>10244</v>
      </c>
      <c r="F56" s="25">
        <v>2428</v>
      </c>
      <c r="G56" s="26">
        <v>0.23699999999999999</v>
      </c>
      <c r="H56" s="25">
        <v>232</v>
      </c>
      <c r="I56" s="25">
        <v>447</v>
      </c>
      <c r="J56" s="25">
        <v>734</v>
      </c>
      <c r="K56" s="25">
        <v>756</v>
      </c>
      <c r="L56" s="25">
        <v>253</v>
      </c>
      <c r="M56" s="25">
        <v>6</v>
      </c>
    </row>
    <row r="57" spans="1:13" ht="15" customHeight="1" x14ac:dyDescent="0.25">
      <c r="A57" s="27">
        <v>2026</v>
      </c>
      <c r="B57" s="27" t="s">
        <v>238</v>
      </c>
      <c r="C57" s="27" t="s">
        <v>198</v>
      </c>
      <c r="D57" s="27" t="s">
        <v>232</v>
      </c>
      <c r="E57" s="28">
        <v>9203</v>
      </c>
      <c r="F57" s="28">
        <v>1743</v>
      </c>
      <c r="G57" s="29">
        <v>0.18940000000000001</v>
      </c>
      <c r="H57" s="28">
        <v>191</v>
      </c>
      <c r="I57" s="28">
        <v>362</v>
      </c>
      <c r="J57" s="28">
        <v>616</v>
      </c>
      <c r="K57" s="28">
        <v>466</v>
      </c>
      <c r="L57" s="28">
        <v>105</v>
      </c>
      <c r="M57" s="28">
        <v>3</v>
      </c>
    </row>
    <row r="58" spans="1:13" ht="15" customHeight="1" x14ac:dyDescent="0.25">
      <c r="A58" s="24">
        <v>2025</v>
      </c>
      <c r="B58" s="24" t="s">
        <v>238</v>
      </c>
      <c r="C58" s="24" t="s">
        <v>198</v>
      </c>
      <c r="D58" s="24" t="s">
        <v>233</v>
      </c>
      <c r="E58" s="25">
        <v>7605</v>
      </c>
      <c r="F58" s="25">
        <v>2992</v>
      </c>
      <c r="G58" s="26">
        <v>0.39340000000000003</v>
      </c>
      <c r="H58" s="25">
        <v>504</v>
      </c>
      <c r="I58" s="25">
        <v>723</v>
      </c>
      <c r="J58" s="25">
        <v>984</v>
      </c>
      <c r="K58" s="25">
        <v>674</v>
      </c>
      <c r="L58" s="25">
        <v>106</v>
      </c>
      <c r="M58" s="25">
        <v>1</v>
      </c>
    </row>
    <row r="59" spans="1:13" ht="15" customHeight="1" x14ac:dyDescent="0.25">
      <c r="A59" s="27">
        <v>2026</v>
      </c>
      <c r="B59" s="27" t="s">
        <v>238</v>
      </c>
      <c r="C59" s="27" t="s">
        <v>198</v>
      </c>
      <c r="D59" s="27" t="s">
        <v>233</v>
      </c>
      <c r="E59" s="28">
        <v>7333</v>
      </c>
      <c r="F59" s="28">
        <v>2896</v>
      </c>
      <c r="G59" s="29">
        <v>0.39489999999999997</v>
      </c>
      <c r="H59" s="28">
        <v>533</v>
      </c>
      <c r="I59" s="28">
        <v>755</v>
      </c>
      <c r="J59" s="28">
        <v>996</v>
      </c>
      <c r="K59" s="28">
        <v>549</v>
      </c>
      <c r="L59" s="28">
        <v>62</v>
      </c>
      <c r="M59" s="28">
        <v>1</v>
      </c>
    </row>
    <row r="60" spans="1:13" ht="15" customHeight="1" x14ac:dyDescent="0.25">
      <c r="A60" s="24">
        <v>2025</v>
      </c>
      <c r="B60" s="24" t="s">
        <v>238</v>
      </c>
      <c r="C60" s="24" t="s">
        <v>198</v>
      </c>
      <c r="D60" s="24" t="s">
        <v>234</v>
      </c>
      <c r="E60" s="25">
        <v>17849</v>
      </c>
      <c r="F60" s="25">
        <v>5420</v>
      </c>
      <c r="G60" s="26">
        <v>0.30370000000000003</v>
      </c>
      <c r="H60" s="25">
        <v>736</v>
      </c>
      <c r="I60" s="25">
        <v>1170</v>
      </c>
      <c r="J60" s="25">
        <v>1718</v>
      </c>
      <c r="K60" s="25">
        <v>1430</v>
      </c>
      <c r="L60" s="25">
        <v>359</v>
      </c>
      <c r="M60" s="25">
        <v>7</v>
      </c>
    </row>
    <row r="61" spans="1:13" ht="15" customHeight="1" x14ac:dyDescent="0.25">
      <c r="A61" s="27">
        <v>2026</v>
      </c>
      <c r="B61" s="27" t="s">
        <v>238</v>
      </c>
      <c r="C61" s="27" t="s">
        <v>198</v>
      </c>
      <c r="D61" s="27" t="s">
        <v>234</v>
      </c>
      <c r="E61" s="28">
        <v>16536</v>
      </c>
      <c r="F61" s="28">
        <v>4639</v>
      </c>
      <c r="G61" s="29">
        <v>0.28050000000000003</v>
      </c>
      <c r="H61" s="28">
        <v>724</v>
      </c>
      <c r="I61" s="28">
        <v>1117</v>
      </c>
      <c r="J61" s="28">
        <v>1612</v>
      </c>
      <c r="K61" s="28">
        <v>1015</v>
      </c>
      <c r="L61" s="28">
        <v>167</v>
      </c>
      <c r="M61" s="28">
        <v>4</v>
      </c>
    </row>
    <row r="62" spans="1:13" ht="15" customHeight="1" x14ac:dyDescent="0.25">
      <c r="A62" s="24">
        <v>2025</v>
      </c>
      <c r="B62" s="24" t="s">
        <v>238</v>
      </c>
      <c r="C62" s="24" t="s">
        <v>235</v>
      </c>
      <c r="D62" s="24" t="s">
        <v>232</v>
      </c>
      <c r="E62" s="25">
        <v>1246</v>
      </c>
      <c r="F62" s="25">
        <v>301</v>
      </c>
      <c r="G62" s="26">
        <v>0.24160000000000001</v>
      </c>
      <c r="H62" s="25">
        <v>5</v>
      </c>
      <c r="I62" s="25">
        <v>31</v>
      </c>
      <c r="J62" s="25">
        <v>85</v>
      </c>
      <c r="K62" s="25">
        <v>126</v>
      </c>
      <c r="L62" s="25">
        <v>50</v>
      </c>
      <c r="M62" s="25">
        <v>4</v>
      </c>
    </row>
    <row r="63" spans="1:13" ht="15" customHeight="1" x14ac:dyDescent="0.25">
      <c r="A63" s="27">
        <v>2026</v>
      </c>
      <c r="B63" s="27" t="s">
        <v>238</v>
      </c>
      <c r="C63" s="27" t="s">
        <v>235</v>
      </c>
      <c r="D63" s="27" t="s">
        <v>232</v>
      </c>
      <c r="E63" s="28">
        <v>1268</v>
      </c>
      <c r="F63" s="28">
        <v>181</v>
      </c>
      <c r="G63" s="29">
        <v>0.14269999999999999</v>
      </c>
      <c r="H63" s="28">
        <v>7</v>
      </c>
      <c r="I63" s="28">
        <v>26</v>
      </c>
      <c r="J63" s="28">
        <v>81</v>
      </c>
      <c r="K63" s="28">
        <v>62</v>
      </c>
      <c r="L63" s="28">
        <v>5</v>
      </c>
      <c r="M63" s="28">
        <v>0</v>
      </c>
    </row>
    <row r="64" spans="1:13" ht="15" customHeight="1" x14ac:dyDescent="0.25">
      <c r="A64" s="24">
        <v>2025</v>
      </c>
      <c r="B64" s="24" t="s">
        <v>238</v>
      </c>
      <c r="C64" s="24" t="s">
        <v>235</v>
      </c>
      <c r="D64" s="24" t="s">
        <v>233</v>
      </c>
      <c r="E64" s="25">
        <v>1018</v>
      </c>
      <c r="F64" s="25">
        <v>342</v>
      </c>
      <c r="G64" s="26">
        <v>0.33600000000000002</v>
      </c>
      <c r="H64" s="25">
        <v>15</v>
      </c>
      <c r="I64" s="25">
        <v>59</v>
      </c>
      <c r="J64" s="25">
        <v>124</v>
      </c>
      <c r="K64" s="25">
        <v>106</v>
      </c>
      <c r="L64" s="25">
        <v>37</v>
      </c>
      <c r="M64" s="25">
        <v>1</v>
      </c>
    </row>
    <row r="65" spans="1:13" ht="15" customHeight="1" x14ac:dyDescent="0.25">
      <c r="A65" s="27">
        <v>2026</v>
      </c>
      <c r="B65" s="27" t="s">
        <v>238</v>
      </c>
      <c r="C65" s="27" t="s">
        <v>235</v>
      </c>
      <c r="D65" s="27" t="s">
        <v>233</v>
      </c>
      <c r="E65" s="28">
        <v>1195</v>
      </c>
      <c r="F65" s="28">
        <v>232</v>
      </c>
      <c r="G65" s="29">
        <v>0.19409999999999999</v>
      </c>
      <c r="H65" s="28">
        <v>24</v>
      </c>
      <c r="I65" s="28">
        <v>62</v>
      </c>
      <c r="J65" s="28">
        <v>87</v>
      </c>
      <c r="K65" s="28">
        <v>52</v>
      </c>
      <c r="L65" s="28">
        <v>7</v>
      </c>
      <c r="M65" s="28">
        <v>0</v>
      </c>
    </row>
    <row r="66" spans="1:13" ht="15" customHeight="1" x14ac:dyDescent="0.25">
      <c r="A66" s="24">
        <v>2025</v>
      </c>
      <c r="B66" s="24" t="s">
        <v>238</v>
      </c>
      <c r="C66" s="24" t="s">
        <v>235</v>
      </c>
      <c r="D66" s="24" t="s">
        <v>234</v>
      </c>
      <c r="E66" s="25">
        <v>2264</v>
      </c>
      <c r="F66" s="25">
        <v>643</v>
      </c>
      <c r="G66" s="26">
        <v>0.28399999999999997</v>
      </c>
      <c r="H66" s="25">
        <v>20</v>
      </c>
      <c r="I66" s="25">
        <v>90</v>
      </c>
      <c r="J66" s="25">
        <v>209</v>
      </c>
      <c r="K66" s="25">
        <v>232</v>
      </c>
      <c r="L66" s="25">
        <v>87</v>
      </c>
      <c r="M66" s="25">
        <v>5</v>
      </c>
    </row>
    <row r="67" spans="1:13" ht="15" customHeight="1" x14ac:dyDescent="0.25">
      <c r="A67" s="27">
        <v>2026</v>
      </c>
      <c r="B67" s="27" t="s">
        <v>238</v>
      </c>
      <c r="C67" s="27" t="s">
        <v>235</v>
      </c>
      <c r="D67" s="27" t="s">
        <v>234</v>
      </c>
      <c r="E67" s="28">
        <v>2463</v>
      </c>
      <c r="F67" s="28">
        <v>413</v>
      </c>
      <c r="G67" s="29">
        <v>0.16769999999999999</v>
      </c>
      <c r="H67" s="28">
        <v>31</v>
      </c>
      <c r="I67" s="28">
        <v>88</v>
      </c>
      <c r="J67" s="28">
        <v>168</v>
      </c>
      <c r="K67" s="28">
        <v>114</v>
      </c>
      <c r="L67" s="28">
        <v>12</v>
      </c>
      <c r="M67" s="28">
        <v>0</v>
      </c>
    </row>
    <row r="68" spans="1:13" ht="15" customHeight="1" x14ac:dyDescent="0.25">
      <c r="A68" s="24">
        <v>2025</v>
      </c>
      <c r="B68" s="24" t="s">
        <v>238</v>
      </c>
      <c r="C68" s="24" t="s">
        <v>234</v>
      </c>
      <c r="D68" s="24" t="s">
        <v>232</v>
      </c>
      <c r="E68" s="25">
        <v>11490</v>
      </c>
      <c r="F68" s="25">
        <v>2729</v>
      </c>
      <c r="G68" s="26">
        <v>0.23749999999999999</v>
      </c>
      <c r="H68" s="25">
        <v>237</v>
      </c>
      <c r="I68" s="25">
        <v>478</v>
      </c>
      <c r="J68" s="25">
        <v>819</v>
      </c>
      <c r="K68" s="25">
        <v>882</v>
      </c>
      <c r="L68" s="25">
        <v>303</v>
      </c>
      <c r="M68" s="25">
        <v>10</v>
      </c>
    </row>
    <row r="69" spans="1:13" ht="15" customHeight="1" x14ac:dyDescent="0.25">
      <c r="A69" s="27">
        <v>2026</v>
      </c>
      <c r="B69" s="27" t="s">
        <v>238</v>
      </c>
      <c r="C69" s="27" t="s">
        <v>234</v>
      </c>
      <c r="D69" s="27" t="s">
        <v>232</v>
      </c>
      <c r="E69" s="28">
        <v>10635</v>
      </c>
      <c r="F69" s="28">
        <v>1930</v>
      </c>
      <c r="G69" s="29">
        <v>0.18149999999999999</v>
      </c>
      <c r="H69" s="28">
        <v>198</v>
      </c>
      <c r="I69" s="28">
        <v>390</v>
      </c>
      <c r="J69" s="28">
        <v>699</v>
      </c>
      <c r="K69" s="28">
        <v>530</v>
      </c>
      <c r="L69" s="28">
        <v>110</v>
      </c>
      <c r="M69" s="28">
        <v>3</v>
      </c>
    </row>
    <row r="70" spans="1:13" ht="15" customHeight="1" x14ac:dyDescent="0.25">
      <c r="A70" s="24">
        <v>2025</v>
      </c>
      <c r="B70" s="24" t="s">
        <v>238</v>
      </c>
      <c r="C70" s="24" t="s">
        <v>234</v>
      </c>
      <c r="D70" s="24" t="s">
        <v>233</v>
      </c>
      <c r="E70" s="25">
        <v>8623</v>
      </c>
      <c r="F70" s="25">
        <v>3334</v>
      </c>
      <c r="G70" s="26">
        <v>0.3866</v>
      </c>
      <c r="H70" s="25">
        <v>519</v>
      </c>
      <c r="I70" s="25">
        <v>782</v>
      </c>
      <c r="J70" s="25">
        <v>1108</v>
      </c>
      <c r="K70" s="25">
        <v>780</v>
      </c>
      <c r="L70" s="25">
        <v>143</v>
      </c>
      <c r="M70" s="25">
        <v>2</v>
      </c>
    </row>
    <row r="71" spans="1:13" ht="15" customHeight="1" x14ac:dyDescent="0.25">
      <c r="A71" s="27">
        <v>2026</v>
      </c>
      <c r="B71" s="27" t="s">
        <v>238</v>
      </c>
      <c r="C71" s="27" t="s">
        <v>234</v>
      </c>
      <c r="D71" s="27" t="s">
        <v>233</v>
      </c>
      <c r="E71" s="28">
        <v>8576</v>
      </c>
      <c r="F71" s="28">
        <v>3137</v>
      </c>
      <c r="G71" s="29">
        <v>0.36580000000000001</v>
      </c>
      <c r="H71" s="28">
        <v>558</v>
      </c>
      <c r="I71" s="28">
        <v>821</v>
      </c>
      <c r="J71" s="28">
        <v>1085</v>
      </c>
      <c r="K71" s="28">
        <v>603</v>
      </c>
      <c r="L71" s="28">
        <v>69</v>
      </c>
      <c r="M71" s="28">
        <v>1</v>
      </c>
    </row>
    <row r="72" spans="1:13" ht="15" customHeight="1" x14ac:dyDescent="0.25">
      <c r="A72" s="30">
        <v>2025</v>
      </c>
      <c r="B72" s="30" t="s">
        <v>238</v>
      </c>
      <c r="C72" s="30" t="s">
        <v>234</v>
      </c>
      <c r="D72" s="30" t="s">
        <v>234</v>
      </c>
      <c r="E72" s="31">
        <v>20113</v>
      </c>
      <c r="F72" s="31">
        <v>6063</v>
      </c>
      <c r="G72" s="32">
        <v>0.3014</v>
      </c>
      <c r="H72" s="31">
        <v>756</v>
      </c>
      <c r="I72" s="31">
        <v>1260</v>
      </c>
      <c r="J72" s="31">
        <v>1927</v>
      </c>
      <c r="K72" s="31">
        <v>1662</v>
      </c>
      <c r="L72" s="31">
        <v>446</v>
      </c>
      <c r="M72" s="31">
        <v>12</v>
      </c>
    </row>
    <row r="73" spans="1:13" ht="15" customHeight="1" x14ac:dyDescent="0.25">
      <c r="A73" s="22">
        <v>2026</v>
      </c>
      <c r="B73" s="22" t="s">
        <v>238</v>
      </c>
      <c r="C73" s="22" t="s">
        <v>234</v>
      </c>
      <c r="D73" s="22" t="s">
        <v>234</v>
      </c>
      <c r="E73" s="33">
        <v>19211</v>
      </c>
      <c r="F73" s="33">
        <v>5067</v>
      </c>
      <c r="G73" s="34">
        <v>0.26379999999999998</v>
      </c>
      <c r="H73" s="33">
        <v>756</v>
      </c>
      <c r="I73" s="33">
        <v>1211</v>
      </c>
      <c r="J73" s="33">
        <v>1784</v>
      </c>
      <c r="K73" s="33">
        <v>1133</v>
      </c>
      <c r="L73" s="33">
        <v>179</v>
      </c>
      <c r="M73" s="33">
        <v>4</v>
      </c>
    </row>
    <row r="74" spans="1:13" ht="15" customHeight="1" x14ac:dyDescent="0.25">
      <c r="A74" s="24">
        <v>2025</v>
      </c>
      <c r="B74" s="24" t="s">
        <v>144</v>
      </c>
      <c r="C74" s="24" t="s">
        <v>198</v>
      </c>
      <c r="D74" s="24" t="s">
        <v>232</v>
      </c>
      <c r="E74" s="25">
        <v>53078</v>
      </c>
      <c r="F74" s="25">
        <v>18552</v>
      </c>
      <c r="G74" s="26">
        <v>0.34949999999999998</v>
      </c>
      <c r="H74" s="25">
        <v>3520</v>
      </c>
      <c r="I74" s="25">
        <v>3908</v>
      </c>
      <c r="J74" s="25">
        <v>5249</v>
      </c>
      <c r="K74" s="25">
        <v>4566</v>
      </c>
      <c r="L74" s="25">
        <v>1282</v>
      </c>
      <c r="M74" s="25">
        <v>27</v>
      </c>
    </row>
    <row r="75" spans="1:13" ht="15" customHeight="1" x14ac:dyDescent="0.25">
      <c r="A75" s="27">
        <v>2026</v>
      </c>
      <c r="B75" s="27" t="s">
        <v>144</v>
      </c>
      <c r="C75" s="27" t="s">
        <v>198</v>
      </c>
      <c r="D75" s="27" t="s">
        <v>232</v>
      </c>
      <c r="E75" s="28">
        <v>45962</v>
      </c>
      <c r="F75" s="28">
        <v>13897</v>
      </c>
      <c r="G75" s="29">
        <v>0.3024</v>
      </c>
      <c r="H75" s="28">
        <v>2971</v>
      </c>
      <c r="I75" s="28">
        <v>3157</v>
      </c>
      <c r="J75" s="28">
        <v>4128</v>
      </c>
      <c r="K75" s="28">
        <v>3052</v>
      </c>
      <c r="L75" s="28">
        <v>580</v>
      </c>
      <c r="M75" s="28">
        <v>9</v>
      </c>
    </row>
    <row r="76" spans="1:13" ht="15" customHeight="1" x14ac:dyDescent="0.25">
      <c r="A76" s="24">
        <v>2025</v>
      </c>
      <c r="B76" s="24" t="s">
        <v>144</v>
      </c>
      <c r="C76" s="24" t="s">
        <v>198</v>
      </c>
      <c r="D76" s="24" t="s">
        <v>233</v>
      </c>
      <c r="E76" s="25">
        <v>45136</v>
      </c>
      <c r="F76" s="25">
        <v>23981</v>
      </c>
      <c r="G76" s="26">
        <v>0.53129999999999999</v>
      </c>
      <c r="H76" s="25">
        <v>6960</v>
      </c>
      <c r="I76" s="25">
        <v>6080</v>
      </c>
      <c r="J76" s="25">
        <v>6781</v>
      </c>
      <c r="K76" s="25">
        <v>3665</v>
      </c>
      <c r="L76" s="25">
        <v>492</v>
      </c>
      <c r="M76" s="25">
        <v>3</v>
      </c>
    </row>
    <row r="77" spans="1:13" ht="15" customHeight="1" x14ac:dyDescent="0.25">
      <c r="A77" s="27">
        <v>2026</v>
      </c>
      <c r="B77" s="27" t="s">
        <v>144</v>
      </c>
      <c r="C77" s="27" t="s">
        <v>198</v>
      </c>
      <c r="D77" s="27" t="s">
        <v>233</v>
      </c>
      <c r="E77" s="28">
        <v>41667</v>
      </c>
      <c r="F77" s="28">
        <v>22344</v>
      </c>
      <c r="G77" s="29">
        <v>0.5363</v>
      </c>
      <c r="H77" s="28">
        <v>6925</v>
      </c>
      <c r="I77" s="28">
        <v>6037</v>
      </c>
      <c r="J77" s="28">
        <v>6298</v>
      </c>
      <c r="K77" s="28">
        <v>2822</v>
      </c>
      <c r="L77" s="28">
        <v>260</v>
      </c>
      <c r="M77" s="28">
        <v>2</v>
      </c>
    </row>
    <row r="78" spans="1:13" ht="15" customHeight="1" x14ac:dyDescent="0.25">
      <c r="A78" s="24">
        <v>2025</v>
      </c>
      <c r="B78" s="24" t="s">
        <v>144</v>
      </c>
      <c r="C78" s="24" t="s">
        <v>198</v>
      </c>
      <c r="D78" s="24" t="s">
        <v>234</v>
      </c>
      <c r="E78" s="25">
        <v>98214</v>
      </c>
      <c r="F78" s="25">
        <v>42533</v>
      </c>
      <c r="G78" s="26">
        <v>0.43309999999999998</v>
      </c>
      <c r="H78" s="25">
        <v>10480</v>
      </c>
      <c r="I78" s="25">
        <v>9988</v>
      </c>
      <c r="J78" s="25">
        <v>12030</v>
      </c>
      <c r="K78" s="25">
        <v>8231</v>
      </c>
      <c r="L78" s="25">
        <v>1774</v>
      </c>
      <c r="M78" s="25">
        <v>30</v>
      </c>
    </row>
    <row r="79" spans="1:13" ht="15" customHeight="1" x14ac:dyDescent="0.25">
      <c r="A79" s="27">
        <v>2026</v>
      </c>
      <c r="B79" s="27" t="s">
        <v>144</v>
      </c>
      <c r="C79" s="27" t="s">
        <v>198</v>
      </c>
      <c r="D79" s="27" t="s">
        <v>234</v>
      </c>
      <c r="E79" s="28">
        <v>87629</v>
      </c>
      <c r="F79" s="28">
        <v>36241</v>
      </c>
      <c r="G79" s="29">
        <v>0.41360000000000002</v>
      </c>
      <c r="H79" s="28">
        <v>9896</v>
      </c>
      <c r="I79" s="28">
        <v>9194</v>
      </c>
      <c r="J79" s="28">
        <v>10426</v>
      </c>
      <c r="K79" s="28">
        <v>5874</v>
      </c>
      <c r="L79" s="28">
        <v>840</v>
      </c>
      <c r="M79" s="28">
        <v>11</v>
      </c>
    </row>
    <row r="80" spans="1:13" ht="15" customHeight="1" x14ac:dyDescent="0.25">
      <c r="A80" s="24">
        <v>2025</v>
      </c>
      <c r="B80" s="24" t="s">
        <v>144</v>
      </c>
      <c r="C80" s="24" t="s">
        <v>235</v>
      </c>
      <c r="D80" s="24" t="s">
        <v>232</v>
      </c>
      <c r="E80" s="25">
        <v>2331</v>
      </c>
      <c r="F80" s="25">
        <v>531</v>
      </c>
      <c r="G80" s="26">
        <v>0.2278</v>
      </c>
      <c r="H80" s="25">
        <v>12</v>
      </c>
      <c r="I80" s="25">
        <v>46</v>
      </c>
      <c r="J80" s="25">
        <v>140</v>
      </c>
      <c r="K80" s="25">
        <v>225</v>
      </c>
      <c r="L80" s="25">
        <v>102</v>
      </c>
      <c r="M80" s="25">
        <v>6</v>
      </c>
    </row>
    <row r="81" spans="1:13" ht="15" customHeight="1" x14ac:dyDescent="0.25">
      <c r="A81" s="27">
        <v>2026</v>
      </c>
      <c r="B81" s="27" t="s">
        <v>144</v>
      </c>
      <c r="C81" s="27" t="s">
        <v>235</v>
      </c>
      <c r="D81" s="27" t="s">
        <v>232</v>
      </c>
      <c r="E81" s="28">
        <v>2617</v>
      </c>
      <c r="F81" s="28">
        <v>299</v>
      </c>
      <c r="G81" s="29">
        <v>0.1143</v>
      </c>
      <c r="H81" s="28">
        <v>11</v>
      </c>
      <c r="I81" s="28">
        <v>36</v>
      </c>
      <c r="J81" s="28">
        <v>124</v>
      </c>
      <c r="K81" s="28">
        <v>111</v>
      </c>
      <c r="L81" s="28">
        <v>17</v>
      </c>
      <c r="M81" s="28">
        <v>0</v>
      </c>
    </row>
    <row r="82" spans="1:13" ht="15" customHeight="1" x14ac:dyDescent="0.25">
      <c r="A82" s="24">
        <v>2025</v>
      </c>
      <c r="B82" s="24" t="s">
        <v>144</v>
      </c>
      <c r="C82" s="24" t="s">
        <v>235</v>
      </c>
      <c r="D82" s="24" t="s">
        <v>233</v>
      </c>
      <c r="E82" s="25">
        <v>9892</v>
      </c>
      <c r="F82" s="25">
        <v>4510</v>
      </c>
      <c r="G82" s="26">
        <v>0.45590000000000003</v>
      </c>
      <c r="H82" s="25">
        <v>220</v>
      </c>
      <c r="I82" s="25">
        <v>792</v>
      </c>
      <c r="J82" s="25">
        <v>1603</v>
      </c>
      <c r="K82" s="25">
        <v>1439</v>
      </c>
      <c r="L82" s="25">
        <v>448</v>
      </c>
      <c r="M82" s="25">
        <v>8</v>
      </c>
    </row>
    <row r="83" spans="1:13" ht="15" customHeight="1" x14ac:dyDescent="0.25">
      <c r="A83" s="27">
        <v>2026</v>
      </c>
      <c r="B83" s="27" t="s">
        <v>144</v>
      </c>
      <c r="C83" s="27" t="s">
        <v>235</v>
      </c>
      <c r="D83" s="27" t="s">
        <v>233</v>
      </c>
      <c r="E83" s="28">
        <v>11434</v>
      </c>
      <c r="F83" s="28">
        <v>2799</v>
      </c>
      <c r="G83" s="29">
        <v>0.24479999999999999</v>
      </c>
      <c r="H83" s="28">
        <v>195</v>
      </c>
      <c r="I83" s="28">
        <v>766</v>
      </c>
      <c r="J83" s="28">
        <v>1145</v>
      </c>
      <c r="K83" s="28">
        <v>593</v>
      </c>
      <c r="L83" s="28">
        <v>98</v>
      </c>
      <c r="M83" s="28">
        <v>2</v>
      </c>
    </row>
    <row r="84" spans="1:13" ht="15" customHeight="1" x14ac:dyDescent="0.25">
      <c r="A84" s="24">
        <v>2025</v>
      </c>
      <c r="B84" s="24" t="s">
        <v>144</v>
      </c>
      <c r="C84" s="24" t="s">
        <v>235</v>
      </c>
      <c r="D84" s="24" t="s">
        <v>234</v>
      </c>
      <c r="E84" s="25">
        <v>12223</v>
      </c>
      <c r="F84" s="25">
        <v>5041</v>
      </c>
      <c r="G84" s="26">
        <v>0.41239999999999999</v>
      </c>
      <c r="H84" s="25">
        <v>232</v>
      </c>
      <c r="I84" s="25">
        <v>838</v>
      </c>
      <c r="J84" s="25">
        <v>1743</v>
      </c>
      <c r="K84" s="25">
        <v>1664</v>
      </c>
      <c r="L84" s="25">
        <v>550</v>
      </c>
      <c r="M84" s="25">
        <v>14</v>
      </c>
    </row>
    <row r="85" spans="1:13" ht="15" customHeight="1" x14ac:dyDescent="0.25">
      <c r="A85" s="27">
        <v>2026</v>
      </c>
      <c r="B85" s="27" t="s">
        <v>144</v>
      </c>
      <c r="C85" s="27" t="s">
        <v>235</v>
      </c>
      <c r="D85" s="27" t="s">
        <v>234</v>
      </c>
      <c r="E85" s="28">
        <v>14051</v>
      </c>
      <c r="F85" s="28">
        <v>3098</v>
      </c>
      <c r="G85" s="29">
        <v>0.2205</v>
      </c>
      <c r="H85" s="28">
        <v>206</v>
      </c>
      <c r="I85" s="28">
        <v>802</v>
      </c>
      <c r="J85" s="28">
        <v>1269</v>
      </c>
      <c r="K85" s="28">
        <v>704</v>
      </c>
      <c r="L85" s="28">
        <v>115</v>
      </c>
      <c r="M85" s="28">
        <v>2</v>
      </c>
    </row>
    <row r="86" spans="1:13" ht="15" customHeight="1" x14ac:dyDescent="0.25">
      <c r="A86" s="24">
        <v>2025</v>
      </c>
      <c r="B86" s="24" t="s">
        <v>144</v>
      </c>
      <c r="C86" s="24" t="s">
        <v>234</v>
      </c>
      <c r="D86" s="24" t="s">
        <v>232</v>
      </c>
      <c r="E86" s="25">
        <v>55409</v>
      </c>
      <c r="F86" s="25">
        <v>19083</v>
      </c>
      <c r="G86" s="26">
        <v>0.34439999999999998</v>
      </c>
      <c r="H86" s="25">
        <v>3532</v>
      </c>
      <c r="I86" s="25">
        <v>3954</v>
      </c>
      <c r="J86" s="25">
        <v>5389</v>
      </c>
      <c r="K86" s="25">
        <v>4791</v>
      </c>
      <c r="L86" s="25">
        <v>1384</v>
      </c>
      <c r="M86" s="25">
        <v>33</v>
      </c>
    </row>
    <row r="87" spans="1:13" ht="15" customHeight="1" x14ac:dyDescent="0.25">
      <c r="A87" s="27">
        <v>2026</v>
      </c>
      <c r="B87" s="27" t="s">
        <v>144</v>
      </c>
      <c r="C87" s="27" t="s">
        <v>234</v>
      </c>
      <c r="D87" s="27" t="s">
        <v>232</v>
      </c>
      <c r="E87" s="28">
        <v>50747</v>
      </c>
      <c r="F87" s="28">
        <v>14676</v>
      </c>
      <c r="G87" s="29">
        <v>0.28920000000000001</v>
      </c>
      <c r="H87" s="28">
        <v>3021</v>
      </c>
      <c r="I87" s="28">
        <v>3313</v>
      </c>
      <c r="J87" s="28">
        <v>4449</v>
      </c>
      <c r="K87" s="28">
        <v>3279</v>
      </c>
      <c r="L87" s="28">
        <v>605</v>
      </c>
      <c r="M87" s="28">
        <v>9</v>
      </c>
    </row>
    <row r="88" spans="1:13" ht="15" customHeight="1" x14ac:dyDescent="0.25">
      <c r="A88" s="24">
        <v>2025</v>
      </c>
      <c r="B88" s="24" t="s">
        <v>144</v>
      </c>
      <c r="C88" s="24" t="s">
        <v>234</v>
      </c>
      <c r="D88" s="24" t="s">
        <v>233</v>
      </c>
      <c r="E88" s="25">
        <v>55028</v>
      </c>
      <c r="F88" s="25">
        <v>28491</v>
      </c>
      <c r="G88" s="26">
        <v>0.51780000000000004</v>
      </c>
      <c r="H88" s="25">
        <v>7180</v>
      </c>
      <c r="I88" s="25">
        <v>6872</v>
      </c>
      <c r="J88" s="25">
        <v>8384</v>
      </c>
      <c r="K88" s="25">
        <v>5104</v>
      </c>
      <c r="L88" s="25">
        <v>940</v>
      </c>
      <c r="M88" s="25">
        <v>11</v>
      </c>
    </row>
    <row r="89" spans="1:13" ht="15" customHeight="1" x14ac:dyDescent="0.25">
      <c r="A89" s="27">
        <v>2026</v>
      </c>
      <c r="B89" s="27" t="s">
        <v>144</v>
      </c>
      <c r="C89" s="27" t="s">
        <v>234</v>
      </c>
      <c r="D89" s="27" t="s">
        <v>233</v>
      </c>
      <c r="E89" s="28">
        <v>54854</v>
      </c>
      <c r="F89" s="28">
        <v>25935</v>
      </c>
      <c r="G89" s="29">
        <v>0.4728</v>
      </c>
      <c r="H89" s="28">
        <v>7332</v>
      </c>
      <c r="I89" s="28">
        <v>7104</v>
      </c>
      <c r="J89" s="28">
        <v>7660</v>
      </c>
      <c r="K89" s="28">
        <v>3473</v>
      </c>
      <c r="L89" s="28">
        <v>362</v>
      </c>
      <c r="M89" s="28">
        <v>4</v>
      </c>
    </row>
    <row r="90" spans="1:13" ht="15" customHeight="1" x14ac:dyDescent="0.25">
      <c r="A90" s="30">
        <v>2025</v>
      </c>
      <c r="B90" s="30" t="s">
        <v>144</v>
      </c>
      <c r="C90" s="30" t="s">
        <v>234</v>
      </c>
      <c r="D90" s="30" t="s">
        <v>234</v>
      </c>
      <c r="E90" s="31">
        <v>110437</v>
      </c>
      <c r="F90" s="31">
        <v>47574</v>
      </c>
      <c r="G90" s="32">
        <v>0.43080000000000002</v>
      </c>
      <c r="H90" s="31">
        <v>10712</v>
      </c>
      <c r="I90" s="31">
        <v>10826</v>
      </c>
      <c r="J90" s="31">
        <v>13773</v>
      </c>
      <c r="K90" s="31">
        <v>9895</v>
      </c>
      <c r="L90" s="31">
        <v>2324</v>
      </c>
      <c r="M90" s="31">
        <v>44</v>
      </c>
    </row>
    <row r="91" spans="1:13" ht="15" customHeight="1" x14ac:dyDescent="0.25">
      <c r="A91" s="22">
        <v>2026</v>
      </c>
      <c r="B91" s="22" t="s">
        <v>144</v>
      </c>
      <c r="C91" s="22" t="s">
        <v>234</v>
      </c>
      <c r="D91" s="22" t="s">
        <v>234</v>
      </c>
      <c r="E91" s="33">
        <v>105601</v>
      </c>
      <c r="F91" s="33">
        <v>40611</v>
      </c>
      <c r="G91" s="34">
        <v>0.3846</v>
      </c>
      <c r="H91" s="33">
        <v>10353</v>
      </c>
      <c r="I91" s="33">
        <v>10417</v>
      </c>
      <c r="J91" s="33">
        <v>12109</v>
      </c>
      <c r="K91" s="33">
        <v>6752</v>
      </c>
      <c r="L91" s="33">
        <v>967</v>
      </c>
      <c r="M91" s="33">
        <v>13</v>
      </c>
    </row>
  </sheetData>
  <autoFilter ref="A1:M91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42" customWidth="1"/>
    <col min="3" max="3" width="16" customWidth="1"/>
    <col min="4" max="4" width="21" customWidth="1"/>
  </cols>
  <sheetData>
    <row r="1" spans="1:4" ht="27.75" customHeight="1" x14ac:dyDescent="0.25">
      <c r="A1" s="8" t="s">
        <v>121</v>
      </c>
      <c r="B1" s="8" t="s">
        <v>239</v>
      </c>
      <c r="C1" s="8" t="s">
        <v>195</v>
      </c>
      <c r="D1" s="8" t="s">
        <v>240</v>
      </c>
    </row>
    <row r="2" spans="1:4" ht="15" customHeight="1" x14ac:dyDescent="0.25">
      <c r="A2" s="24">
        <v>2025</v>
      </c>
      <c r="B2" s="24" t="s">
        <v>241</v>
      </c>
      <c r="C2" s="24" t="s">
        <v>242</v>
      </c>
      <c r="D2" s="25">
        <v>113148</v>
      </c>
    </row>
    <row r="3" spans="1:4" ht="15" customHeight="1" x14ac:dyDescent="0.25">
      <c r="A3" s="24">
        <v>2025</v>
      </c>
      <c r="B3" s="24" t="s">
        <v>243</v>
      </c>
      <c r="C3" s="24" t="s">
        <v>242</v>
      </c>
      <c r="D3" s="25">
        <v>2711</v>
      </c>
    </row>
    <row r="4" spans="1:4" ht="15" customHeight="1" x14ac:dyDescent="0.25">
      <c r="A4" s="24">
        <v>2025</v>
      </c>
      <c r="B4" s="24" t="s">
        <v>122</v>
      </c>
      <c r="C4" s="24" t="s">
        <v>244</v>
      </c>
      <c r="D4" s="25">
        <v>90324</v>
      </c>
    </row>
    <row r="5" spans="1:4" ht="15" customHeight="1" x14ac:dyDescent="0.25">
      <c r="A5" s="24">
        <v>2025</v>
      </c>
      <c r="B5" s="24" t="s">
        <v>122</v>
      </c>
      <c r="C5" s="24" t="s">
        <v>238</v>
      </c>
      <c r="D5" s="25">
        <v>20113</v>
      </c>
    </row>
    <row r="6" spans="1:4" ht="15" customHeight="1" x14ac:dyDescent="0.25">
      <c r="A6" s="24">
        <v>2025</v>
      </c>
      <c r="B6" s="24" t="s">
        <v>122</v>
      </c>
      <c r="C6" s="24" t="s">
        <v>234</v>
      </c>
      <c r="D6" s="25">
        <v>110437</v>
      </c>
    </row>
    <row r="7" spans="1:4" ht="15" customHeight="1" x14ac:dyDescent="0.25">
      <c r="A7" s="24">
        <v>2025</v>
      </c>
      <c r="B7" s="24" t="s">
        <v>245</v>
      </c>
      <c r="C7" s="24" t="s">
        <v>244</v>
      </c>
      <c r="D7" s="25">
        <v>41511</v>
      </c>
    </row>
    <row r="8" spans="1:4" ht="15" customHeight="1" x14ac:dyDescent="0.25">
      <c r="A8" s="24">
        <v>2025</v>
      </c>
      <c r="B8" s="24" t="s">
        <v>245</v>
      </c>
      <c r="C8" s="24" t="s">
        <v>238</v>
      </c>
      <c r="D8" s="25">
        <v>6063</v>
      </c>
    </row>
    <row r="9" spans="1:4" ht="15" customHeight="1" x14ac:dyDescent="0.25">
      <c r="A9" s="24">
        <v>2025</v>
      </c>
      <c r="B9" s="24" t="s">
        <v>245</v>
      </c>
      <c r="C9" s="24" t="s">
        <v>234</v>
      </c>
      <c r="D9" s="25">
        <v>47574</v>
      </c>
    </row>
    <row r="10" spans="1:4" ht="15" customHeight="1" x14ac:dyDescent="0.25">
      <c r="A10" s="24">
        <v>2025</v>
      </c>
      <c r="B10" s="24" t="s">
        <v>124</v>
      </c>
      <c r="C10" s="24" t="s">
        <v>244</v>
      </c>
      <c r="D10" s="26">
        <v>0.45960000000000001</v>
      </c>
    </row>
    <row r="11" spans="1:4" ht="15" customHeight="1" x14ac:dyDescent="0.25">
      <c r="A11" s="24">
        <v>2025</v>
      </c>
      <c r="B11" s="24" t="s">
        <v>124</v>
      </c>
      <c r="C11" s="24" t="s">
        <v>238</v>
      </c>
      <c r="D11" s="26">
        <v>0.3014</v>
      </c>
    </row>
    <row r="12" spans="1:4" ht="15" customHeight="1" x14ac:dyDescent="0.25">
      <c r="A12" s="24">
        <v>2025</v>
      </c>
      <c r="B12" s="24" t="s">
        <v>124</v>
      </c>
      <c r="C12" s="24" t="s">
        <v>246</v>
      </c>
      <c r="D12" s="26">
        <v>0.43080000000000002</v>
      </c>
    </row>
    <row r="13" spans="1:4" ht="15" customHeight="1" x14ac:dyDescent="0.25">
      <c r="A13" s="27">
        <v>2026</v>
      </c>
      <c r="B13" s="27" t="s">
        <v>241</v>
      </c>
      <c r="C13" s="27" t="s">
        <v>242</v>
      </c>
      <c r="D13" s="28">
        <v>108502</v>
      </c>
    </row>
    <row r="14" spans="1:4" ht="15" customHeight="1" x14ac:dyDescent="0.25">
      <c r="A14" s="27">
        <v>2026</v>
      </c>
      <c r="B14" s="27" t="s">
        <v>243</v>
      </c>
      <c r="C14" s="27" t="s">
        <v>242</v>
      </c>
      <c r="D14" s="28">
        <v>2901</v>
      </c>
    </row>
    <row r="15" spans="1:4" ht="15" customHeight="1" x14ac:dyDescent="0.25">
      <c r="A15" s="27">
        <v>2026</v>
      </c>
      <c r="B15" s="27" t="s">
        <v>122</v>
      </c>
      <c r="C15" s="27" t="s">
        <v>244</v>
      </c>
      <c r="D15" s="28">
        <v>86390</v>
      </c>
    </row>
    <row r="16" spans="1:4" ht="15" customHeight="1" x14ac:dyDescent="0.25">
      <c r="A16" s="27">
        <v>2026</v>
      </c>
      <c r="B16" s="27" t="s">
        <v>122</v>
      </c>
      <c r="C16" s="27" t="s">
        <v>238</v>
      </c>
      <c r="D16" s="28">
        <v>19211</v>
      </c>
    </row>
    <row r="17" spans="1:4" ht="15" customHeight="1" x14ac:dyDescent="0.25">
      <c r="A17" s="27">
        <v>2026</v>
      </c>
      <c r="B17" s="27" t="s">
        <v>122</v>
      </c>
      <c r="C17" s="27" t="s">
        <v>234</v>
      </c>
      <c r="D17" s="28">
        <v>105601</v>
      </c>
    </row>
    <row r="18" spans="1:4" ht="15" customHeight="1" x14ac:dyDescent="0.25">
      <c r="A18" s="27">
        <v>2026</v>
      </c>
      <c r="B18" s="27" t="s">
        <v>245</v>
      </c>
      <c r="C18" s="27" t="s">
        <v>244</v>
      </c>
      <c r="D18" s="28">
        <v>35544</v>
      </c>
    </row>
    <row r="19" spans="1:4" ht="15" customHeight="1" x14ac:dyDescent="0.25">
      <c r="A19" s="27">
        <v>2026</v>
      </c>
      <c r="B19" s="27" t="s">
        <v>245</v>
      </c>
      <c r="C19" s="27" t="s">
        <v>238</v>
      </c>
      <c r="D19" s="28">
        <v>5067</v>
      </c>
    </row>
    <row r="20" spans="1:4" ht="15" customHeight="1" x14ac:dyDescent="0.25">
      <c r="A20" s="27">
        <v>2026</v>
      </c>
      <c r="B20" s="27" t="s">
        <v>245</v>
      </c>
      <c r="C20" s="27" t="s">
        <v>234</v>
      </c>
      <c r="D20" s="28">
        <v>40611</v>
      </c>
    </row>
    <row r="21" spans="1:4" ht="15" customHeight="1" x14ac:dyDescent="0.25">
      <c r="A21" s="27">
        <v>2026</v>
      </c>
      <c r="B21" s="27" t="s">
        <v>124</v>
      </c>
      <c r="C21" s="27" t="s">
        <v>244</v>
      </c>
      <c r="D21" s="29">
        <v>0.41139999999999999</v>
      </c>
    </row>
    <row r="22" spans="1:4" ht="15" customHeight="1" x14ac:dyDescent="0.25">
      <c r="A22" s="27">
        <v>2026</v>
      </c>
      <c r="B22" s="27" t="s">
        <v>124</v>
      </c>
      <c r="C22" s="27" t="s">
        <v>238</v>
      </c>
      <c r="D22" s="29">
        <v>0.26379999999999998</v>
      </c>
    </row>
    <row r="23" spans="1:4" ht="15" customHeight="1" x14ac:dyDescent="0.25">
      <c r="A23" s="27">
        <v>2026</v>
      </c>
      <c r="B23" s="27" t="s">
        <v>124</v>
      </c>
      <c r="C23" s="27" t="s">
        <v>246</v>
      </c>
      <c r="D23" s="29">
        <v>0.3846</v>
      </c>
    </row>
  </sheetData>
  <autoFilter ref="A1:D23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5" customWidth="1"/>
    <col min="4" max="4" width="13" customWidth="1"/>
    <col min="5" max="5" width="21" customWidth="1"/>
    <col min="6" max="6" width="17" customWidth="1"/>
    <col min="7" max="7" width="15" customWidth="1"/>
    <col min="8" max="8" width="21" customWidth="1"/>
    <col min="9" max="9" width="16" customWidth="1"/>
    <col min="10" max="10" width="14" customWidth="1"/>
    <col min="11" max="11" width="21" customWidth="1"/>
  </cols>
  <sheetData>
    <row r="1" spans="1:11" ht="27.75" customHeight="1" x14ac:dyDescent="0.25">
      <c r="A1" s="8" t="s">
        <v>121</v>
      </c>
      <c r="B1" s="8" t="s">
        <v>247</v>
      </c>
      <c r="C1" s="8" t="s">
        <v>248</v>
      </c>
      <c r="D1" s="8" t="s">
        <v>249</v>
      </c>
      <c r="E1" s="8" t="s">
        <v>250</v>
      </c>
      <c r="F1" s="8" t="s">
        <v>251</v>
      </c>
      <c r="G1" s="8" t="s">
        <v>252</v>
      </c>
      <c r="H1" s="8" t="s">
        <v>253</v>
      </c>
      <c r="I1" s="8" t="s">
        <v>254</v>
      </c>
      <c r="J1" s="8" t="s">
        <v>255</v>
      </c>
      <c r="K1" s="8" t="s">
        <v>256</v>
      </c>
    </row>
    <row r="2" spans="1:11" ht="15" customHeight="1" x14ac:dyDescent="0.25">
      <c r="A2" s="24">
        <v>2025</v>
      </c>
      <c r="B2" s="24" t="s">
        <v>18</v>
      </c>
      <c r="C2" s="25">
        <v>17505</v>
      </c>
      <c r="D2" s="25">
        <v>6073</v>
      </c>
      <c r="E2" s="26">
        <v>0.35</v>
      </c>
      <c r="F2" s="25">
        <v>18258</v>
      </c>
      <c r="G2" s="25">
        <v>9787</v>
      </c>
      <c r="H2" s="26">
        <v>0.54</v>
      </c>
      <c r="I2" s="25">
        <v>35763</v>
      </c>
      <c r="J2" s="25">
        <v>15860</v>
      </c>
      <c r="K2" s="26">
        <v>0.44350000000000001</v>
      </c>
    </row>
    <row r="3" spans="1:11" ht="15" customHeight="1" x14ac:dyDescent="0.25">
      <c r="A3" s="27">
        <v>2026</v>
      </c>
      <c r="B3" s="27" t="s">
        <v>18</v>
      </c>
      <c r="C3" s="28">
        <v>16167</v>
      </c>
      <c r="D3" s="28">
        <v>4576</v>
      </c>
      <c r="E3" s="29">
        <v>0.28299999999999997</v>
      </c>
      <c r="F3" s="28">
        <v>18033</v>
      </c>
      <c r="G3" s="28">
        <v>8605</v>
      </c>
      <c r="H3" s="29">
        <v>0.47720000000000001</v>
      </c>
      <c r="I3" s="28">
        <v>34200</v>
      </c>
      <c r="J3" s="28">
        <v>13181</v>
      </c>
      <c r="K3" s="29">
        <v>0.38540000000000002</v>
      </c>
    </row>
    <row r="4" spans="1:11" ht="15" customHeight="1" x14ac:dyDescent="0.25">
      <c r="A4" s="15" t="s">
        <v>125</v>
      </c>
      <c r="B4" s="15" t="s">
        <v>18</v>
      </c>
      <c r="C4" s="16">
        <f t="shared" ref="C4:K4" si="0">C3-C2</f>
        <v>-1338</v>
      </c>
      <c r="D4" s="16">
        <f t="shared" si="0"/>
        <v>-1497</v>
      </c>
      <c r="E4" s="17">
        <f t="shared" si="0"/>
        <v>-6.7000000000000004E-2</v>
      </c>
      <c r="F4" s="16">
        <f t="shared" si="0"/>
        <v>-225</v>
      </c>
      <c r="G4" s="16">
        <f t="shared" si="0"/>
        <v>-1182</v>
      </c>
      <c r="H4" s="17">
        <f t="shared" si="0"/>
        <v>-6.2800000000000022E-2</v>
      </c>
      <c r="I4" s="16">
        <f t="shared" si="0"/>
        <v>-1563</v>
      </c>
      <c r="J4" s="16">
        <f t="shared" si="0"/>
        <v>-2679</v>
      </c>
      <c r="K4" s="17">
        <f t="shared" si="0"/>
        <v>-5.8099999999999985E-2</v>
      </c>
    </row>
    <row r="5" spans="1:11" ht="15" customHeight="1" x14ac:dyDescent="0.25">
      <c r="A5" s="24">
        <v>2025</v>
      </c>
      <c r="B5" s="24" t="s">
        <v>257</v>
      </c>
      <c r="C5" s="25">
        <v>16350</v>
      </c>
      <c r="D5" s="25">
        <v>5383</v>
      </c>
      <c r="E5" s="26">
        <v>0.33</v>
      </c>
      <c r="F5" s="25">
        <v>16573</v>
      </c>
      <c r="G5" s="25">
        <v>8111</v>
      </c>
      <c r="H5" s="26">
        <v>0.49</v>
      </c>
      <c r="I5" s="25">
        <v>32923</v>
      </c>
      <c r="J5" s="25">
        <v>13494</v>
      </c>
      <c r="K5" s="26">
        <v>0.40989999999999999</v>
      </c>
    </row>
    <row r="6" spans="1:11" ht="15" customHeight="1" x14ac:dyDescent="0.25">
      <c r="A6" s="27">
        <v>2026</v>
      </c>
      <c r="B6" s="27" t="s">
        <v>257</v>
      </c>
      <c r="C6" s="28">
        <v>15001</v>
      </c>
      <c r="D6" s="28">
        <v>3924</v>
      </c>
      <c r="E6" s="29">
        <v>0.2616</v>
      </c>
      <c r="F6" s="28">
        <v>16756</v>
      </c>
      <c r="G6" s="28">
        <v>7453</v>
      </c>
      <c r="H6" s="29">
        <v>0.44479999999999997</v>
      </c>
      <c r="I6" s="28">
        <v>31757</v>
      </c>
      <c r="J6" s="28">
        <v>11377</v>
      </c>
      <c r="K6" s="29">
        <v>0.35830000000000001</v>
      </c>
    </row>
    <row r="7" spans="1:11" ht="15" customHeight="1" x14ac:dyDescent="0.25">
      <c r="A7" s="15" t="s">
        <v>125</v>
      </c>
      <c r="B7" s="15" t="s">
        <v>257</v>
      </c>
      <c r="C7" s="16">
        <f t="shared" ref="C7:K7" si="1">C6-C5</f>
        <v>-1349</v>
      </c>
      <c r="D7" s="16">
        <f t="shared" si="1"/>
        <v>-1459</v>
      </c>
      <c r="E7" s="17">
        <f t="shared" si="1"/>
        <v>-6.8400000000000016E-2</v>
      </c>
      <c r="F7" s="16">
        <f t="shared" si="1"/>
        <v>183</v>
      </c>
      <c r="G7" s="16">
        <f t="shared" si="1"/>
        <v>-658</v>
      </c>
      <c r="H7" s="17">
        <f t="shared" si="1"/>
        <v>-4.5200000000000018E-2</v>
      </c>
      <c r="I7" s="16">
        <f t="shared" si="1"/>
        <v>-1166</v>
      </c>
      <c r="J7" s="16">
        <f t="shared" si="1"/>
        <v>-2117</v>
      </c>
      <c r="K7" s="17">
        <f t="shared" si="1"/>
        <v>-5.1599999999999979E-2</v>
      </c>
    </row>
    <row r="8" spans="1:11" ht="15" customHeight="1" x14ac:dyDescent="0.25">
      <c r="A8" s="24">
        <v>2025</v>
      </c>
      <c r="B8" s="24" t="s">
        <v>258</v>
      </c>
      <c r="C8" s="25">
        <v>21554</v>
      </c>
      <c r="D8" s="25">
        <v>7627</v>
      </c>
      <c r="E8" s="26">
        <v>0.35</v>
      </c>
      <c r="F8" s="25">
        <v>20197</v>
      </c>
      <c r="G8" s="25">
        <v>10593</v>
      </c>
      <c r="H8" s="26">
        <v>0.52</v>
      </c>
      <c r="I8" s="25">
        <v>41751</v>
      </c>
      <c r="J8" s="25">
        <v>18220</v>
      </c>
      <c r="K8" s="26">
        <v>0.43640000000000001</v>
      </c>
    </row>
    <row r="9" spans="1:11" ht="15" customHeight="1" x14ac:dyDescent="0.25">
      <c r="A9" s="27">
        <v>2026</v>
      </c>
      <c r="B9" s="27" t="s">
        <v>258</v>
      </c>
      <c r="C9" s="28">
        <v>19579</v>
      </c>
      <c r="D9" s="28">
        <v>6176</v>
      </c>
      <c r="E9" s="29">
        <v>0.31540000000000001</v>
      </c>
      <c r="F9" s="28">
        <v>20065</v>
      </c>
      <c r="G9" s="28">
        <v>9877</v>
      </c>
      <c r="H9" s="29">
        <v>0.49230000000000002</v>
      </c>
      <c r="I9" s="28">
        <v>39644</v>
      </c>
      <c r="J9" s="28">
        <v>16053</v>
      </c>
      <c r="K9" s="29">
        <v>0.40489999999999998</v>
      </c>
    </row>
    <row r="10" spans="1:11" ht="15" customHeight="1" x14ac:dyDescent="0.25">
      <c r="A10" s="15" t="s">
        <v>125</v>
      </c>
      <c r="B10" s="15" t="s">
        <v>258</v>
      </c>
      <c r="C10" s="16">
        <f t="shared" ref="C10:K10" si="2">C9-C8</f>
        <v>-1975</v>
      </c>
      <c r="D10" s="16">
        <f t="shared" si="2"/>
        <v>-1451</v>
      </c>
      <c r="E10" s="17">
        <f t="shared" si="2"/>
        <v>-3.4599999999999964E-2</v>
      </c>
      <c r="F10" s="16">
        <f t="shared" si="2"/>
        <v>-132</v>
      </c>
      <c r="G10" s="16">
        <f t="shared" si="2"/>
        <v>-716</v>
      </c>
      <c r="H10" s="17">
        <f t="shared" si="2"/>
        <v>-2.7700000000000002E-2</v>
      </c>
      <c r="I10" s="16">
        <f t="shared" si="2"/>
        <v>-2107</v>
      </c>
      <c r="J10" s="16">
        <f t="shared" si="2"/>
        <v>-2167</v>
      </c>
      <c r="K10" s="17">
        <f t="shared" si="2"/>
        <v>-3.1500000000000028E-2</v>
      </c>
    </row>
    <row r="11" spans="1:11" ht="15" customHeight="1" x14ac:dyDescent="0.25">
      <c r="A11" s="30">
        <v>2025</v>
      </c>
      <c r="B11" s="30" t="s">
        <v>234</v>
      </c>
      <c r="C11" s="31">
        <v>55409</v>
      </c>
      <c r="D11" s="31">
        <v>19083</v>
      </c>
      <c r="E11" s="32">
        <v>0.34439999999999998</v>
      </c>
      <c r="F11" s="31">
        <v>55028</v>
      </c>
      <c r="G11" s="31">
        <v>28491</v>
      </c>
      <c r="H11" s="32">
        <v>0.51780000000000004</v>
      </c>
      <c r="I11" s="31">
        <v>110437</v>
      </c>
      <c r="J11" s="31">
        <v>47574</v>
      </c>
      <c r="K11" s="32">
        <v>0.43080000000000002</v>
      </c>
    </row>
    <row r="12" spans="1:11" ht="15" customHeight="1" x14ac:dyDescent="0.25">
      <c r="A12" s="22">
        <v>2026</v>
      </c>
      <c r="B12" s="22" t="s">
        <v>234</v>
      </c>
      <c r="C12" s="33">
        <v>50747</v>
      </c>
      <c r="D12" s="33">
        <v>14676</v>
      </c>
      <c r="E12" s="34">
        <v>0.28920000000000001</v>
      </c>
      <c r="F12" s="33">
        <v>54854</v>
      </c>
      <c r="G12" s="33">
        <v>25935</v>
      </c>
      <c r="H12" s="34">
        <v>0.4728</v>
      </c>
      <c r="I12" s="33">
        <v>105601</v>
      </c>
      <c r="J12" s="33">
        <v>40611</v>
      </c>
      <c r="K12" s="34">
        <v>0.3846</v>
      </c>
    </row>
    <row r="13" spans="1:11" ht="15" customHeight="1" x14ac:dyDescent="0.25">
      <c r="A13" s="15" t="s">
        <v>125</v>
      </c>
      <c r="B13" s="15" t="s">
        <v>234</v>
      </c>
      <c r="C13" s="16">
        <f t="shared" ref="C13:K13" si="3">C12-C11</f>
        <v>-4662</v>
      </c>
      <c r="D13" s="16">
        <f t="shared" si="3"/>
        <v>-4407</v>
      </c>
      <c r="E13" s="17">
        <f t="shared" si="3"/>
        <v>-5.5199999999999971E-2</v>
      </c>
      <c r="F13" s="16">
        <f t="shared" si="3"/>
        <v>-174</v>
      </c>
      <c r="G13" s="16">
        <f t="shared" si="3"/>
        <v>-2556</v>
      </c>
      <c r="H13" s="17">
        <f t="shared" si="3"/>
        <v>-4.500000000000004E-2</v>
      </c>
      <c r="I13" s="16">
        <f t="shared" si="3"/>
        <v>-4836</v>
      </c>
      <c r="J13" s="16">
        <f t="shared" si="3"/>
        <v>-6963</v>
      </c>
      <c r="K13" s="17">
        <f t="shared" si="3"/>
        <v>-4.6200000000000019E-2</v>
      </c>
    </row>
  </sheetData>
  <autoFilter ref="A1:K13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42" customWidth="1"/>
    <col min="2" max="2" width="10" customWidth="1"/>
    <col min="5" max="5" width="20" customWidth="1"/>
  </cols>
  <sheetData>
    <row r="1" spans="1:5" ht="27.75" customHeight="1" x14ac:dyDescent="0.25">
      <c r="A1" s="8" t="s">
        <v>145</v>
      </c>
      <c r="B1" s="8" t="s">
        <v>121</v>
      </c>
      <c r="C1" s="8" t="s">
        <v>122</v>
      </c>
      <c r="D1" s="8" t="s">
        <v>123</v>
      </c>
      <c r="E1" s="8" t="s">
        <v>124</v>
      </c>
    </row>
    <row r="2" spans="1:5" ht="15" customHeight="1" x14ac:dyDescent="0.25">
      <c r="A2" s="24" t="s">
        <v>259</v>
      </c>
      <c r="B2" s="24">
        <v>2025</v>
      </c>
      <c r="C2" s="25">
        <v>8863</v>
      </c>
      <c r="D2" s="25">
        <v>8025</v>
      </c>
      <c r="E2" s="26">
        <v>0.90539999999999998</v>
      </c>
    </row>
    <row r="3" spans="1:5" ht="15" customHeight="1" x14ac:dyDescent="0.25">
      <c r="A3" s="27" t="s">
        <v>259</v>
      </c>
      <c r="B3" s="27">
        <v>2026</v>
      </c>
      <c r="C3" s="28">
        <v>9892</v>
      </c>
      <c r="D3" s="28">
        <v>8966</v>
      </c>
      <c r="E3" s="29">
        <v>0.90639999999999998</v>
      </c>
    </row>
    <row r="4" spans="1:5" ht="15" customHeight="1" x14ac:dyDescent="0.25">
      <c r="A4" s="24" t="s">
        <v>260</v>
      </c>
      <c r="B4" s="24">
        <v>2025</v>
      </c>
      <c r="C4" s="24"/>
      <c r="D4" s="24"/>
      <c r="E4" s="24"/>
    </row>
    <row r="5" spans="1:5" ht="15" customHeight="1" x14ac:dyDescent="0.25">
      <c r="A5" s="27" t="s">
        <v>260</v>
      </c>
      <c r="B5" s="27">
        <v>2026</v>
      </c>
      <c r="C5" s="28">
        <v>169</v>
      </c>
      <c r="D5" s="28">
        <v>136</v>
      </c>
      <c r="E5" s="29">
        <v>0.80469999999999997</v>
      </c>
    </row>
    <row r="6" spans="1:5" ht="15" customHeight="1" x14ac:dyDescent="0.25">
      <c r="A6" s="24" t="s">
        <v>261</v>
      </c>
      <c r="B6" s="24">
        <v>2025</v>
      </c>
      <c r="C6" s="25">
        <v>572</v>
      </c>
      <c r="D6" s="25">
        <v>455</v>
      </c>
      <c r="E6" s="26">
        <v>0.79549999999999998</v>
      </c>
    </row>
    <row r="7" spans="1:5" ht="15" customHeight="1" x14ac:dyDescent="0.25">
      <c r="A7" s="27" t="s">
        <v>261</v>
      </c>
      <c r="B7" s="27">
        <v>2026</v>
      </c>
      <c r="C7" s="28">
        <v>367</v>
      </c>
      <c r="D7" s="28">
        <v>343</v>
      </c>
      <c r="E7" s="29">
        <v>0.93459999999999999</v>
      </c>
    </row>
    <row r="8" spans="1:5" ht="15" customHeight="1" x14ac:dyDescent="0.25">
      <c r="A8" s="24" t="s">
        <v>262</v>
      </c>
      <c r="B8" s="24">
        <v>2025</v>
      </c>
      <c r="C8" s="25">
        <v>136</v>
      </c>
      <c r="D8" s="25">
        <v>136</v>
      </c>
      <c r="E8" s="26">
        <v>1</v>
      </c>
    </row>
    <row r="9" spans="1:5" ht="15" customHeight="1" x14ac:dyDescent="0.25">
      <c r="A9" s="27" t="s">
        <v>262</v>
      </c>
      <c r="B9" s="27">
        <v>2026</v>
      </c>
      <c r="C9" s="28">
        <v>252</v>
      </c>
      <c r="D9" s="28">
        <v>240</v>
      </c>
      <c r="E9" s="29">
        <v>0.95240000000000002</v>
      </c>
    </row>
    <row r="10" spans="1:5" ht="15" customHeight="1" x14ac:dyDescent="0.25">
      <c r="A10" s="24" t="s">
        <v>263</v>
      </c>
      <c r="B10" s="24">
        <v>2025</v>
      </c>
      <c r="C10" s="24"/>
      <c r="D10" s="24"/>
      <c r="E10" s="24"/>
    </row>
    <row r="11" spans="1:5" ht="15" customHeight="1" x14ac:dyDescent="0.25">
      <c r="A11" s="27" t="s">
        <v>263</v>
      </c>
      <c r="B11" s="27">
        <v>2026</v>
      </c>
      <c r="C11" s="28">
        <v>1025</v>
      </c>
      <c r="D11" s="28">
        <v>611</v>
      </c>
      <c r="E11" s="29">
        <v>0.59609999999999996</v>
      </c>
    </row>
    <row r="12" spans="1:5" ht="15" customHeight="1" x14ac:dyDescent="0.25">
      <c r="A12" s="24" t="s">
        <v>264</v>
      </c>
      <c r="B12" s="24">
        <v>2025</v>
      </c>
      <c r="C12" s="25">
        <v>49254</v>
      </c>
      <c r="D12" s="25">
        <v>36988</v>
      </c>
      <c r="E12" s="26">
        <v>0.751</v>
      </c>
    </row>
    <row r="13" spans="1:5" ht="15" customHeight="1" x14ac:dyDescent="0.25">
      <c r="A13" s="27" t="s">
        <v>264</v>
      </c>
      <c r="B13" s="27">
        <v>2026</v>
      </c>
      <c r="C13" s="27"/>
      <c r="D13" s="27"/>
      <c r="E13" s="27"/>
    </row>
    <row r="14" spans="1:5" ht="15" customHeight="1" x14ac:dyDescent="0.25">
      <c r="A14" s="24" t="s">
        <v>265</v>
      </c>
      <c r="B14" s="24">
        <v>2025</v>
      </c>
      <c r="C14" s="24"/>
      <c r="D14" s="24"/>
      <c r="E14" s="24"/>
    </row>
    <row r="15" spans="1:5" ht="15" customHeight="1" x14ac:dyDescent="0.25">
      <c r="A15" s="27" t="s">
        <v>265</v>
      </c>
      <c r="B15" s="27">
        <v>2026</v>
      </c>
      <c r="C15" s="28">
        <v>44311</v>
      </c>
      <c r="D15" s="28">
        <v>30744</v>
      </c>
      <c r="E15" s="29">
        <v>0.69379999999999997</v>
      </c>
    </row>
    <row r="16" spans="1:5" ht="15" customHeight="1" x14ac:dyDescent="0.25">
      <c r="A16" s="24" t="s">
        <v>266</v>
      </c>
      <c r="B16" s="24">
        <v>2025</v>
      </c>
      <c r="C16" s="24"/>
      <c r="D16" s="24"/>
      <c r="E16" s="24"/>
    </row>
    <row r="17" spans="1:5" ht="15" customHeight="1" x14ac:dyDescent="0.25">
      <c r="A17" s="27" t="s">
        <v>266</v>
      </c>
      <c r="B17" s="27">
        <v>2026</v>
      </c>
      <c r="C17" s="28">
        <v>3616</v>
      </c>
      <c r="D17" s="28">
        <v>1940</v>
      </c>
      <c r="E17" s="29">
        <v>0.53649999999999998</v>
      </c>
    </row>
    <row r="18" spans="1:5" ht="15" customHeight="1" x14ac:dyDescent="0.25">
      <c r="A18" s="24" t="s">
        <v>267</v>
      </c>
      <c r="B18" s="24">
        <v>2025</v>
      </c>
      <c r="C18" s="25">
        <v>97947</v>
      </c>
      <c r="D18" s="25">
        <v>58755</v>
      </c>
      <c r="E18" s="26">
        <v>0.59989999999999999</v>
      </c>
    </row>
    <row r="19" spans="1:5" ht="15" customHeight="1" x14ac:dyDescent="0.25">
      <c r="A19" s="27" t="s">
        <v>267</v>
      </c>
      <c r="B19" s="27">
        <v>2026</v>
      </c>
      <c r="C19" s="27"/>
      <c r="D19" s="27"/>
      <c r="E19" s="27"/>
    </row>
    <row r="20" spans="1:5" ht="15" customHeight="1" x14ac:dyDescent="0.25">
      <c r="A20" s="24" t="s">
        <v>268</v>
      </c>
      <c r="B20" s="24">
        <v>2025</v>
      </c>
      <c r="C20" s="24"/>
      <c r="D20" s="24"/>
      <c r="E20" s="24"/>
    </row>
    <row r="21" spans="1:5" ht="15" customHeight="1" x14ac:dyDescent="0.25">
      <c r="A21" s="27" t="s">
        <v>268</v>
      </c>
      <c r="B21" s="27">
        <v>2026</v>
      </c>
      <c r="C21" s="28">
        <v>87446</v>
      </c>
      <c r="D21" s="28">
        <v>53076</v>
      </c>
      <c r="E21" s="29">
        <v>0.60699999999999998</v>
      </c>
    </row>
    <row r="22" spans="1:5" ht="15" customHeight="1" x14ac:dyDescent="0.25">
      <c r="A22" s="24" t="s">
        <v>269</v>
      </c>
      <c r="B22" s="24">
        <v>2025</v>
      </c>
      <c r="C22" s="25">
        <v>406</v>
      </c>
      <c r="D22" s="25">
        <v>287</v>
      </c>
      <c r="E22" s="26">
        <v>0.70689999999999997</v>
      </c>
    </row>
    <row r="23" spans="1:5" ht="15" customHeight="1" x14ac:dyDescent="0.25">
      <c r="A23" s="27" t="s">
        <v>269</v>
      </c>
      <c r="B23" s="27">
        <v>2026</v>
      </c>
      <c r="C23" s="28">
        <v>439</v>
      </c>
      <c r="D23" s="28">
        <v>426</v>
      </c>
      <c r="E23" s="29">
        <v>0.97040000000000004</v>
      </c>
    </row>
    <row r="24" spans="1:5" ht="15" customHeight="1" x14ac:dyDescent="0.25">
      <c r="A24" s="24" t="s">
        <v>270</v>
      </c>
      <c r="B24" s="24">
        <v>2025</v>
      </c>
      <c r="C24" s="24"/>
      <c r="D24" s="24"/>
      <c r="E24" s="24"/>
    </row>
    <row r="25" spans="1:5" ht="15" customHeight="1" x14ac:dyDescent="0.25">
      <c r="A25" s="27" t="s">
        <v>270</v>
      </c>
      <c r="B25" s="27">
        <v>2026</v>
      </c>
      <c r="C25" s="28">
        <v>97</v>
      </c>
      <c r="D25" s="28">
        <v>97</v>
      </c>
      <c r="E25" s="29">
        <v>1</v>
      </c>
    </row>
    <row r="26" spans="1:5" ht="15" customHeight="1" x14ac:dyDescent="0.25">
      <c r="A26" s="24" t="s">
        <v>271</v>
      </c>
      <c r="B26" s="24">
        <v>2025</v>
      </c>
      <c r="C26" s="24"/>
      <c r="D26" s="24"/>
      <c r="E26" s="24"/>
    </row>
    <row r="27" spans="1:5" ht="15" customHeight="1" x14ac:dyDescent="0.25">
      <c r="A27" s="27" t="s">
        <v>271</v>
      </c>
      <c r="B27" s="27">
        <v>2026</v>
      </c>
      <c r="C27" s="28">
        <v>298</v>
      </c>
      <c r="D27" s="28">
        <v>279</v>
      </c>
      <c r="E27" s="29">
        <v>0.93620000000000003</v>
      </c>
    </row>
    <row r="28" spans="1:5" ht="15" customHeight="1" x14ac:dyDescent="0.25">
      <c r="A28" s="24" t="s">
        <v>272</v>
      </c>
      <c r="B28" s="24">
        <v>2025</v>
      </c>
      <c r="C28" s="25">
        <v>51940</v>
      </c>
      <c r="D28" s="25">
        <v>38857</v>
      </c>
      <c r="E28" s="26">
        <v>0.74809999999999999</v>
      </c>
    </row>
    <row r="29" spans="1:5" ht="15" customHeight="1" x14ac:dyDescent="0.25">
      <c r="A29" s="27" t="s">
        <v>272</v>
      </c>
      <c r="B29" s="27">
        <v>2026</v>
      </c>
      <c r="C29" s="27"/>
      <c r="D29" s="27"/>
      <c r="E29" s="27"/>
    </row>
    <row r="30" spans="1:5" ht="15" customHeight="1" x14ac:dyDescent="0.25">
      <c r="A30" s="24" t="s">
        <v>273</v>
      </c>
      <c r="B30" s="24">
        <v>2025</v>
      </c>
      <c r="C30" s="24"/>
      <c r="D30" s="24"/>
      <c r="E30" s="24"/>
    </row>
    <row r="31" spans="1:5" ht="15" customHeight="1" x14ac:dyDescent="0.25">
      <c r="A31" s="27" t="s">
        <v>273</v>
      </c>
      <c r="B31" s="27">
        <v>2026</v>
      </c>
      <c r="C31" s="28">
        <v>2882</v>
      </c>
      <c r="D31" s="28">
        <v>2370</v>
      </c>
      <c r="E31" s="29">
        <v>0.82230000000000003</v>
      </c>
    </row>
    <row r="32" spans="1:5" ht="15" customHeight="1" x14ac:dyDescent="0.25">
      <c r="A32" s="24" t="s">
        <v>274</v>
      </c>
      <c r="B32" s="24">
        <v>2025</v>
      </c>
      <c r="C32" s="24"/>
      <c r="D32" s="24"/>
      <c r="E32" s="24"/>
    </row>
    <row r="33" spans="1:5" ht="15" customHeight="1" x14ac:dyDescent="0.25">
      <c r="A33" s="27" t="s">
        <v>274</v>
      </c>
      <c r="B33" s="27">
        <v>2026</v>
      </c>
      <c r="C33" s="28">
        <v>45762</v>
      </c>
      <c r="D33" s="28">
        <v>28155</v>
      </c>
      <c r="E33" s="29">
        <v>0.61519999999999997</v>
      </c>
    </row>
    <row r="34" spans="1:5" ht="15" customHeight="1" x14ac:dyDescent="0.25">
      <c r="A34" s="24" t="s">
        <v>275</v>
      </c>
      <c r="B34" s="24">
        <v>2025</v>
      </c>
      <c r="C34" s="25">
        <v>498</v>
      </c>
      <c r="D34" s="25">
        <v>434</v>
      </c>
      <c r="E34" s="26">
        <v>0.87150000000000005</v>
      </c>
    </row>
    <row r="35" spans="1:5" ht="15" customHeight="1" x14ac:dyDescent="0.25">
      <c r="A35" s="27" t="s">
        <v>275</v>
      </c>
      <c r="B35" s="27">
        <v>2026</v>
      </c>
      <c r="C35" s="28">
        <v>901</v>
      </c>
      <c r="D35" s="28">
        <v>799</v>
      </c>
      <c r="E35" s="29">
        <v>0.88680000000000003</v>
      </c>
    </row>
    <row r="36" spans="1:5" ht="15" customHeight="1" x14ac:dyDescent="0.25">
      <c r="A36" s="24" t="s">
        <v>276</v>
      </c>
      <c r="B36" s="24">
        <v>2025</v>
      </c>
      <c r="C36" s="25">
        <v>180</v>
      </c>
      <c r="D36" s="25">
        <v>179</v>
      </c>
      <c r="E36" s="26">
        <v>0.99439999999999995</v>
      </c>
    </row>
    <row r="37" spans="1:5" ht="15" customHeight="1" x14ac:dyDescent="0.25">
      <c r="A37" s="27" t="s">
        <v>276</v>
      </c>
      <c r="B37" s="27">
        <v>2026</v>
      </c>
      <c r="C37" s="28">
        <v>165</v>
      </c>
      <c r="D37" s="28">
        <v>165</v>
      </c>
      <c r="E37" s="29">
        <v>1</v>
      </c>
    </row>
    <row r="38" spans="1:5" ht="15" customHeight="1" x14ac:dyDescent="0.25">
      <c r="A38" s="24" t="s">
        <v>277</v>
      </c>
      <c r="B38" s="24">
        <v>2025</v>
      </c>
      <c r="C38" s="25">
        <v>2341</v>
      </c>
      <c r="D38" s="25">
        <v>1595</v>
      </c>
      <c r="E38" s="26">
        <v>0.68130000000000002</v>
      </c>
    </row>
    <row r="39" spans="1:5" ht="15" customHeight="1" x14ac:dyDescent="0.25">
      <c r="A39" s="27" t="s">
        <v>277</v>
      </c>
      <c r="B39" s="27">
        <v>2026</v>
      </c>
      <c r="C39" s="28">
        <v>2734</v>
      </c>
      <c r="D39" s="28">
        <v>2415</v>
      </c>
      <c r="E39" s="29">
        <v>0.88329999999999997</v>
      </c>
    </row>
    <row r="40" spans="1:5" ht="15" customHeight="1" x14ac:dyDescent="0.25">
      <c r="A40" s="24" t="s">
        <v>278</v>
      </c>
      <c r="B40" s="24">
        <v>2025</v>
      </c>
      <c r="C40" s="25">
        <v>110335</v>
      </c>
      <c r="D40" s="25">
        <v>88761</v>
      </c>
      <c r="E40" s="26">
        <v>0.80449999999999999</v>
      </c>
    </row>
    <row r="41" spans="1:5" ht="15" customHeight="1" x14ac:dyDescent="0.25">
      <c r="A41" s="27" t="s">
        <v>278</v>
      </c>
      <c r="B41" s="27">
        <v>2026</v>
      </c>
      <c r="C41" s="27"/>
      <c r="D41" s="27"/>
      <c r="E41" s="27"/>
    </row>
    <row r="42" spans="1:5" ht="15" customHeight="1" x14ac:dyDescent="0.25">
      <c r="A42" s="24" t="s">
        <v>279</v>
      </c>
      <c r="B42" s="24">
        <v>2025</v>
      </c>
      <c r="C42" s="24"/>
      <c r="D42" s="24"/>
      <c r="E42" s="24"/>
    </row>
    <row r="43" spans="1:5" ht="15" customHeight="1" x14ac:dyDescent="0.25">
      <c r="A43" s="27" t="s">
        <v>279</v>
      </c>
      <c r="B43" s="27">
        <v>2026</v>
      </c>
      <c r="C43" s="28">
        <v>105504</v>
      </c>
      <c r="D43" s="28">
        <v>80956</v>
      </c>
      <c r="E43" s="29">
        <v>0.76729999999999998</v>
      </c>
    </row>
    <row r="44" spans="1:5" ht="15" customHeight="1" x14ac:dyDescent="0.25">
      <c r="A44" s="24" t="s">
        <v>280</v>
      </c>
      <c r="B44" s="24">
        <v>2025</v>
      </c>
      <c r="C44" s="25">
        <v>860</v>
      </c>
      <c r="D44" s="25">
        <v>720</v>
      </c>
      <c r="E44" s="26">
        <v>0.83720000000000006</v>
      </c>
    </row>
    <row r="45" spans="1:5" ht="15" customHeight="1" x14ac:dyDescent="0.25">
      <c r="A45" s="27" t="s">
        <v>280</v>
      </c>
      <c r="B45" s="27">
        <v>2026</v>
      </c>
      <c r="C45" s="28">
        <v>645</v>
      </c>
      <c r="D45" s="28">
        <v>619</v>
      </c>
      <c r="E45" s="29">
        <v>0.9597</v>
      </c>
    </row>
    <row r="46" spans="1:5" ht="15" customHeight="1" x14ac:dyDescent="0.25">
      <c r="A46" s="24" t="s">
        <v>281</v>
      </c>
      <c r="B46" s="24">
        <v>2025</v>
      </c>
      <c r="C46" s="25">
        <v>1045</v>
      </c>
      <c r="D46" s="25">
        <v>868</v>
      </c>
      <c r="E46" s="26">
        <v>0.8306</v>
      </c>
    </row>
    <row r="47" spans="1:5" ht="15" customHeight="1" x14ac:dyDescent="0.25">
      <c r="A47" s="27" t="s">
        <v>281</v>
      </c>
      <c r="B47" s="27">
        <v>2026</v>
      </c>
      <c r="C47" s="27"/>
      <c r="D47" s="27"/>
      <c r="E47" s="27"/>
    </row>
    <row r="48" spans="1:5" ht="15" customHeight="1" x14ac:dyDescent="0.25">
      <c r="A48" s="24" t="s">
        <v>282</v>
      </c>
      <c r="B48" s="24">
        <v>2025</v>
      </c>
      <c r="C48" s="24"/>
      <c r="D48" s="24"/>
      <c r="E48" s="24"/>
    </row>
    <row r="49" spans="1:5" ht="15" customHeight="1" x14ac:dyDescent="0.25">
      <c r="A49" s="27" t="s">
        <v>282</v>
      </c>
      <c r="B49" s="27">
        <v>2026</v>
      </c>
      <c r="C49" s="28">
        <v>945</v>
      </c>
      <c r="D49" s="28">
        <v>807</v>
      </c>
      <c r="E49" s="29">
        <v>0.85399999999999998</v>
      </c>
    </row>
    <row r="50" spans="1:5" ht="15" customHeight="1" x14ac:dyDescent="0.25">
      <c r="A50" s="24" t="s">
        <v>283</v>
      </c>
      <c r="B50" s="24">
        <v>2025</v>
      </c>
      <c r="C50" s="24"/>
      <c r="D50" s="24"/>
      <c r="E50" s="24"/>
    </row>
    <row r="51" spans="1:5" ht="15" customHeight="1" x14ac:dyDescent="0.25">
      <c r="A51" s="27" t="s">
        <v>283</v>
      </c>
      <c r="B51" s="27">
        <v>2026</v>
      </c>
      <c r="C51" s="28">
        <v>297</v>
      </c>
      <c r="D51" s="28">
        <v>224</v>
      </c>
      <c r="E51" s="29">
        <v>0.75419999999999998</v>
      </c>
    </row>
    <row r="52" spans="1:5" ht="15" customHeight="1" x14ac:dyDescent="0.25">
      <c r="A52" s="24" t="s">
        <v>284</v>
      </c>
      <c r="B52" s="24">
        <v>2025</v>
      </c>
      <c r="C52" s="25">
        <v>1011</v>
      </c>
      <c r="D52" s="25">
        <v>913</v>
      </c>
      <c r="E52" s="26">
        <v>0.90310000000000001</v>
      </c>
    </row>
    <row r="53" spans="1:5" ht="15" customHeight="1" x14ac:dyDescent="0.25">
      <c r="A53" s="27" t="s">
        <v>284</v>
      </c>
      <c r="B53" s="27">
        <v>2026</v>
      </c>
      <c r="C53" s="28">
        <v>1775</v>
      </c>
      <c r="D53" s="28">
        <v>1681</v>
      </c>
      <c r="E53" s="29">
        <v>0.94699999999999995</v>
      </c>
    </row>
    <row r="54" spans="1:5" ht="15" customHeight="1" x14ac:dyDescent="0.25">
      <c r="A54" s="24" t="s">
        <v>285</v>
      </c>
      <c r="B54" s="24">
        <v>2025</v>
      </c>
      <c r="C54" s="25">
        <v>12131</v>
      </c>
      <c r="D54" s="25">
        <v>7330</v>
      </c>
      <c r="E54" s="26">
        <v>0.60419999999999996</v>
      </c>
    </row>
    <row r="55" spans="1:5" ht="15" customHeight="1" x14ac:dyDescent="0.25">
      <c r="A55" s="27" t="s">
        <v>285</v>
      </c>
      <c r="B55" s="27">
        <v>2026</v>
      </c>
      <c r="C55" s="27"/>
      <c r="D55" s="27"/>
      <c r="E55" s="27"/>
    </row>
    <row r="56" spans="1:5" ht="15" customHeight="1" x14ac:dyDescent="0.25">
      <c r="A56" s="24" t="s">
        <v>286</v>
      </c>
      <c r="B56" s="24">
        <v>2025</v>
      </c>
      <c r="C56" s="24"/>
      <c r="D56" s="24"/>
      <c r="E56" s="24"/>
    </row>
    <row r="57" spans="1:5" ht="15" customHeight="1" x14ac:dyDescent="0.25">
      <c r="A57" s="27" t="s">
        <v>286</v>
      </c>
      <c r="B57" s="27">
        <v>2026</v>
      </c>
      <c r="C57" s="28">
        <v>296</v>
      </c>
      <c r="D57" s="28">
        <v>268</v>
      </c>
      <c r="E57" s="29">
        <v>0.90539999999999998</v>
      </c>
    </row>
    <row r="58" spans="1:5" ht="15" customHeight="1" x14ac:dyDescent="0.25">
      <c r="A58" s="24" t="s">
        <v>287</v>
      </c>
      <c r="B58" s="24">
        <v>2025</v>
      </c>
      <c r="C58" s="25">
        <v>12168</v>
      </c>
      <c r="D58" s="25">
        <v>8894</v>
      </c>
      <c r="E58" s="26">
        <v>0.73089999999999999</v>
      </c>
    </row>
    <row r="59" spans="1:5" ht="15" customHeight="1" x14ac:dyDescent="0.25">
      <c r="A59" s="27" t="s">
        <v>287</v>
      </c>
      <c r="B59" s="27">
        <v>2026</v>
      </c>
      <c r="C59" s="28">
        <v>14009</v>
      </c>
      <c r="D59" s="28">
        <v>11122</v>
      </c>
      <c r="E59" s="29">
        <v>0.79390000000000005</v>
      </c>
    </row>
    <row r="60" spans="1:5" ht="15" customHeight="1" x14ac:dyDescent="0.25">
      <c r="A60" s="24" t="s">
        <v>288</v>
      </c>
      <c r="B60" s="24">
        <v>2025</v>
      </c>
      <c r="C60" s="25">
        <v>5818</v>
      </c>
      <c r="D60" s="25">
        <v>5370</v>
      </c>
      <c r="E60" s="26">
        <v>0.92300000000000004</v>
      </c>
    </row>
    <row r="61" spans="1:5" ht="15" customHeight="1" x14ac:dyDescent="0.25">
      <c r="A61" s="27" t="s">
        <v>288</v>
      </c>
      <c r="B61" s="27">
        <v>2026</v>
      </c>
      <c r="C61" s="28">
        <v>7498</v>
      </c>
      <c r="D61" s="28">
        <v>6703</v>
      </c>
      <c r="E61" s="29">
        <v>0.89400000000000002</v>
      </c>
    </row>
    <row r="62" spans="1:5" ht="15" customHeight="1" x14ac:dyDescent="0.25">
      <c r="A62" s="24" t="s">
        <v>289</v>
      </c>
      <c r="B62" s="24">
        <v>2025</v>
      </c>
      <c r="C62" s="24"/>
      <c r="D62" s="24"/>
      <c r="E62" s="24"/>
    </row>
    <row r="63" spans="1:5" ht="15" customHeight="1" x14ac:dyDescent="0.25">
      <c r="A63" s="27" t="s">
        <v>289</v>
      </c>
      <c r="B63" s="27">
        <v>2026</v>
      </c>
      <c r="C63" s="28">
        <v>855</v>
      </c>
      <c r="D63" s="28">
        <v>676</v>
      </c>
      <c r="E63" s="29">
        <v>0.79059999999999997</v>
      </c>
    </row>
    <row r="64" spans="1:5" ht="15" customHeight="1" x14ac:dyDescent="0.25">
      <c r="A64" s="24" t="s">
        <v>290</v>
      </c>
      <c r="B64" s="24">
        <v>2025</v>
      </c>
      <c r="C64" s="25">
        <v>134</v>
      </c>
      <c r="D64" s="25">
        <v>124</v>
      </c>
      <c r="E64" s="26">
        <v>0.9254</v>
      </c>
    </row>
    <row r="65" spans="1:5" ht="15" customHeight="1" x14ac:dyDescent="0.25">
      <c r="A65" s="27" t="s">
        <v>290</v>
      </c>
      <c r="B65" s="27">
        <v>2026</v>
      </c>
      <c r="C65" s="28">
        <v>139</v>
      </c>
      <c r="D65" s="28">
        <v>118</v>
      </c>
      <c r="E65" s="29">
        <v>0.84889999999999999</v>
      </c>
    </row>
    <row r="66" spans="1:5" ht="15" customHeight="1" x14ac:dyDescent="0.25">
      <c r="A66" s="24" t="s">
        <v>291</v>
      </c>
      <c r="B66" s="24">
        <v>2025</v>
      </c>
      <c r="C66" s="24"/>
      <c r="D66" s="24"/>
      <c r="E66" s="24"/>
    </row>
    <row r="67" spans="1:5" ht="15" customHeight="1" x14ac:dyDescent="0.25">
      <c r="A67" s="27" t="s">
        <v>291</v>
      </c>
      <c r="B67" s="27">
        <v>2026</v>
      </c>
      <c r="C67" s="28">
        <v>2548</v>
      </c>
      <c r="D67" s="28">
        <v>2027</v>
      </c>
      <c r="E67" s="29">
        <v>0.79549999999999998</v>
      </c>
    </row>
    <row r="68" spans="1:5" ht="15" customHeight="1" x14ac:dyDescent="0.25">
      <c r="A68" s="24" t="s">
        <v>292</v>
      </c>
      <c r="B68" s="24">
        <v>2025</v>
      </c>
      <c r="C68" s="25">
        <v>109529</v>
      </c>
      <c r="D68" s="25">
        <v>97207</v>
      </c>
      <c r="E68" s="26">
        <v>0.88749999999999996</v>
      </c>
    </row>
    <row r="69" spans="1:5" ht="15" customHeight="1" x14ac:dyDescent="0.25">
      <c r="A69" s="27" t="s">
        <v>292</v>
      </c>
      <c r="B69" s="27">
        <v>2026</v>
      </c>
      <c r="C69" s="28">
        <v>104850</v>
      </c>
      <c r="D69" s="28">
        <v>95280</v>
      </c>
      <c r="E69" s="29">
        <v>0.90869999999999995</v>
      </c>
    </row>
    <row r="70" spans="1:5" ht="15" customHeight="1" x14ac:dyDescent="0.25">
      <c r="A70" s="24" t="s">
        <v>293</v>
      </c>
      <c r="B70" s="24">
        <v>2025</v>
      </c>
      <c r="C70" s="25">
        <v>97840</v>
      </c>
      <c r="D70" s="25">
        <v>59974</v>
      </c>
      <c r="E70" s="26">
        <v>0.61299999999999999</v>
      </c>
    </row>
    <row r="71" spans="1:5" ht="15" customHeight="1" x14ac:dyDescent="0.25">
      <c r="A71" s="27" t="s">
        <v>293</v>
      </c>
      <c r="B71" s="27">
        <v>2026</v>
      </c>
      <c r="C71" s="27"/>
      <c r="D71" s="27"/>
      <c r="E71" s="27"/>
    </row>
    <row r="72" spans="1:5" ht="15" customHeight="1" x14ac:dyDescent="0.25">
      <c r="A72" s="24" t="s">
        <v>294</v>
      </c>
      <c r="B72" s="24">
        <v>2025</v>
      </c>
      <c r="C72" s="24"/>
      <c r="D72" s="24"/>
      <c r="E72" s="24"/>
    </row>
    <row r="73" spans="1:5" ht="15" customHeight="1" x14ac:dyDescent="0.25">
      <c r="A73" s="27" t="s">
        <v>294</v>
      </c>
      <c r="B73" s="27">
        <v>2026</v>
      </c>
      <c r="C73" s="28">
        <v>105284</v>
      </c>
      <c r="D73" s="28">
        <v>54301</v>
      </c>
      <c r="E73" s="29">
        <v>0.51580000000000004</v>
      </c>
    </row>
    <row r="74" spans="1:5" ht="15" customHeight="1" x14ac:dyDescent="0.25">
      <c r="A74" s="24" t="s">
        <v>295</v>
      </c>
      <c r="B74" s="24">
        <v>2025</v>
      </c>
      <c r="C74" s="24"/>
      <c r="D74" s="24"/>
      <c r="E74" s="24"/>
    </row>
    <row r="75" spans="1:5" ht="15" customHeight="1" x14ac:dyDescent="0.25">
      <c r="A75" s="27" t="s">
        <v>295</v>
      </c>
      <c r="B75" s="27">
        <v>2026</v>
      </c>
      <c r="C75" s="28">
        <v>3618</v>
      </c>
      <c r="D75" s="28">
        <v>2874</v>
      </c>
      <c r="E75" s="29">
        <v>0.7944</v>
      </c>
    </row>
    <row r="76" spans="1:5" ht="15" customHeight="1" x14ac:dyDescent="0.25">
      <c r="A76" s="24" t="s">
        <v>296</v>
      </c>
      <c r="B76" s="24">
        <v>2025</v>
      </c>
      <c r="C76" s="25">
        <v>97852</v>
      </c>
      <c r="D76" s="25">
        <v>65858</v>
      </c>
      <c r="E76" s="26">
        <v>0.67300000000000004</v>
      </c>
    </row>
    <row r="77" spans="1:5" ht="15" customHeight="1" x14ac:dyDescent="0.25">
      <c r="A77" s="27" t="s">
        <v>296</v>
      </c>
      <c r="B77" s="27">
        <v>2026</v>
      </c>
      <c r="C77" s="27"/>
      <c r="D77" s="27"/>
      <c r="E77" s="27"/>
    </row>
    <row r="78" spans="1:5" ht="15" customHeight="1" x14ac:dyDescent="0.25">
      <c r="A78" s="24" t="s">
        <v>297</v>
      </c>
      <c r="B78" s="24">
        <v>2025</v>
      </c>
      <c r="C78" s="24"/>
      <c r="D78" s="24"/>
      <c r="E78" s="24"/>
    </row>
    <row r="79" spans="1:5" ht="15" customHeight="1" x14ac:dyDescent="0.25">
      <c r="A79" s="27" t="s">
        <v>297</v>
      </c>
      <c r="B79" s="27">
        <v>2026</v>
      </c>
      <c r="C79" s="28">
        <v>87513</v>
      </c>
      <c r="D79" s="28">
        <v>62621</v>
      </c>
      <c r="E79" s="29">
        <v>0.71560000000000001</v>
      </c>
    </row>
    <row r="80" spans="1:5" ht="15" customHeight="1" x14ac:dyDescent="0.25">
      <c r="A80" s="24" t="s">
        <v>298</v>
      </c>
      <c r="B80" s="24">
        <v>2025</v>
      </c>
      <c r="C80" s="25">
        <v>117</v>
      </c>
      <c r="D80" s="25">
        <v>89</v>
      </c>
      <c r="E80" s="26">
        <v>0.76070000000000004</v>
      </c>
    </row>
    <row r="81" spans="1:5" ht="15" customHeight="1" x14ac:dyDescent="0.25">
      <c r="A81" s="27" t="s">
        <v>298</v>
      </c>
      <c r="B81" s="27">
        <v>2026</v>
      </c>
      <c r="C81" s="28">
        <v>214</v>
      </c>
      <c r="D81" s="28">
        <v>137</v>
      </c>
      <c r="E81" s="29">
        <v>0.64019999999999999</v>
      </c>
    </row>
    <row r="82" spans="1:5" ht="15" customHeight="1" x14ac:dyDescent="0.25">
      <c r="A82" s="24" t="s">
        <v>299</v>
      </c>
      <c r="B82" s="24">
        <v>2025</v>
      </c>
      <c r="C82" s="25">
        <v>476</v>
      </c>
      <c r="D82" s="25">
        <v>388</v>
      </c>
      <c r="E82" s="26">
        <v>0.81510000000000005</v>
      </c>
    </row>
    <row r="83" spans="1:5" ht="15" customHeight="1" x14ac:dyDescent="0.25">
      <c r="A83" s="27" t="s">
        <v>299</v>
      </c>
      <c r="B83" s="27">
        <v>2026</v>
      </c>
      <c r="C83" s="28">
        <v>428</v>
      </c>
      <c r="D83" s="28">
        <v>370</v>
      </c>
      <c r="E83" s="29">
        <v>0.86450000000000005</v>
      </c>
    </row>
    <row r="84" spans="1:5" ht="15" customHeight="1" x14ac:dyDescent="0.25">
      <c r="A84" s="24" t="s">
        <v>300</v>
      </c>
      <c r="B84" s="24">
        <v>2025</v>
      </c>
      <c r="C84" s="25">
        <v>109170</v>
      </c>
      <c r="D84" s="25">
        <v>99874</v>
      </c>
      <c r="E84" s="26">
        <v>0.91479999999999995</v>
      </c>
    </row>
    <row r="85" spans="1:5" ht="15" customHeight="1" x14ac:dyDescent="0.25">
      <c r="A85" s="27" t="s">
        <v>300</v>
      </c>
      <c r="B85" s="27">
        <v>2026</v>
      </c>
      <c r="C85" s="28">
        <v>104484</v>
      </c>
      <c r="D85" s="28">
        <v>98417</v>
      </c>
      <c r="E85" s="29">
        <v>0.94189999999999996</v>
      </c>
    </row>
    <row r="86" spans="1:5" ht="15" customHeight="1" x14ac:dyDescent="0.25">
      <c r="A86" s="24" t="s">
        <v>301</v>
      </c>
      <c r="B86" s="24">
        <v>2025</v>
      </c>
      <c r="C86" s="25">
        <v>110087</v>
      </c>
      <c r="D86" s="25">
        <v>103129</v>
      </c>
      <c r="E86" s="26">
        <v>0.93679999999999997</v>
      </c>
    </row>
    <row r="87" spans="1:5" ht="15" customHeight="1" x14ac:dyDescent="0.25">
      <c r="A87" s="27" t="s">
        <v>301</v>
      </c>
      <c r="B87" s="27">
        <v>2026</v>
      </c>
      <c r="C87" s="27"/>
      <c r="D87" s="27"/>
      <c r="E87" s="27"/>
    </row>
    <row r="88" spans="1:5" ht="15" customHeight="1" x14ac:dyDescent="0.25">
      <c r="A88" s="24" t="s">
        <v>302</v>
      </c>
      <c r="B88" s="24">
        <v>2025</v>
      </c>
      <c r="C88" s="24"/>
      <c r="D88" s="24"/>
      <c r="E88" s="24"/>
    </row>
    <row r="89" spans="1:5" ht="15" customHeight="1" x14ac:dyDescent="0.25">
      <c r="A89" s="27" t="s">
        <v>302</v>
      </c>
      <c r="B89" s="27">
        <v>2026</v>
      </c>
      <c r="C89" s="28">
        <v>105345</v>
      </c>
      <c r="D89" s="28">
        <v>99711</v>
      </c>
      <c r="E89" s="29">
        <v>0.94650000000000001</v>
      </c>
    </row>
    <row r="90" spans="1:5" ht="15" customHeight="1" x14ac:dyDescent="0.25">
      <c r="A90" s="24" t="s">
        <v>303</v>
      </c>
      <c r="B90" s="24">
        <v>2025</v>
      </c>
      <c r="C90" s="25">
        <v>196</v>
      </c>
      <c r="D90" s="25">
        <v>195</v>
      </c>
      <c r="E90" s="26">
        <v>0.99490000000000001</v>
      </c>
    </row>
    <row r="91" spans="1:5" ht="15" customHeight="1" x14ac:dyDescent="0.25">
      <c r="A91" s="27" t="s">
        <v>303</v>
      </c>
      <c r="B91" s="27">
        <v>2026</v>
      </c>
      <c r="C91" s="28">
        <v>169</v>
      </c>
      <c r="D91" s="28">
        <v>163</v>
      </c>
      <c r="E91" s="29">
        <v>0.96450000000000002</v>
      </c>
    </row>
  </sheetData>
  <autoFilter ref="A1:E91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3" customWidth="1"/>
    <col min="3" max="3" width="17" customWidth="1"/>
    <col min="4" max="4" width="10" customWidth="1"/>
    <col min="6" max="6" width="11" customWidth="1"/>
    <col min="7" max="7" width="10" customWidth="1"/>
  </cols>
  <sheetData>
    <row r="1" spans="1:12" ht="27.75" customHeight="1" x14ac:dyDescent="0.25">
      <c r="A1" s="8" t="s">
        <v>121</v>
      </c>
      <c r="B1" s="8" t="s">
        <v>130</v>
      </c>
      <c r="C1" s="8" t="s">
        <v>131</v>
      </c>
      <c r="D1" s="8" t="s">
        <v>122</v>
      </c>
      <c r="E1" s="8" t="s">
        <v>123</v>
      </c>
      <c r="F1" s="8" t="s">
        <v>124</v>
      </c>
      <c r="G1" s="8" t="s">
        <v>304</v>
      </c>
      <c r="H1" s="8" t="s">
        <v>134</v>
      </c>
      <c r="I1" s="8" t="s">
        <v>135</v>
      </c>
      <c r="J1" s="8" t="s">
        <v>136</v>
      </c>
      <c r="K1" s="8" t="s">
        <v>137</v>
      </c>
      <c r="L1" s="8" t="s">
        <v>138</v>
      </c>
    </row>
    <row r="2" spans="1:12" ht="15" customHeight="1" x14ac:dyDescent="0.25">
      <c r="A2" s="24">
        <v>2025</v>
      </c>
      <c r="B2" s="24" t="s">
        <v>198</v>
      </c>
      <c r="C2" s="24" t="s">
        <v>139</v>
      </c>
      <c r="D2" s="25">
        <v>20218</v>
      </c>
      <c r="E2" s="25">
        <v>14625</v>
      </c>
      <c r="F2" s="26">
        <v>0.72</v>
      </c>
      <c r="G2" s="25">
        <v>0</v>
      </c>
      <c r="H2" s="25">
        <v>0</v>
      </c>
      <c r="I2" s="25">
        <v>0</v>
      </c>
      <c r="J2" s="25">
        <v>0</v>
      </c>
      <c r="K2" s="25">
        <v>0</v>
      </c>
      <c r="L2" s="25">
        <v>0</v>
      </c>
    </row>
    <row r="3" spans="1:12" ht="15" customHeight="1" x14ac:dyDescent="0.25">
      <c r="A3" s="27">
        <v>2026</v>
      </c>
      <c r="B3" s="27" t="s">
        <v>198</v>
      </c>
      <c r="C3" s="27" t="s">
        <v>139</v>
      </c>
      <c r="D3" s="28">
        <v>21385</v>
      </c>
      <c r="E3" s="28">
        <v>16084</v>
      </c>
      <c r="F3" s="29">
        <v>0.75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 customHeight="1" x14ac:dyDescent="0.25">
      <c r="A4" s="24">
        <v>2025</v>
      </c>
      <c r="B4" s="24" t="s">
        <v>198</v>
      </c>
      <c r="C4" s="24" t="s">
        <v>141</v>
      </c>
      <c r="D4" s="25">
        <v>5838</v>
      </c>
      <c r="E4" s="25">
        <v>4389</v>
      </c>
      <c r="F4" s="26">
        <v>0.75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</row>
    <row r="5" spans="1:12" ht="15" customHeight="1" x14ac:dyDescent="0.25">
      <c r="A5" s="27">
        <v>2026</v>
      </c>
      <c r="B5" s="27" t="s">
        <v>198</v>
      </c>
      <c r="C5" s="27" t="s">
        <v>141</v>
      </c>
      <c r="D5" s="28">
        <v>6403</v>
      </c>
      <c r="E5" s="28">
        <v>5710</v>
      </c>
      <c r="F5" s="29">
        <v>0.89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 customHeight="1" x14ac:dyDescent="0.25">
      <c r="A6" s="24">
        <v>2025</v>
      </c>
      <c r="B6" s="24" t="s">
        <v>198</v>
      </c>
      <c r="C6" s="24" t="s">
        <v>140</v>
      </c>
      <c r="D6" s="25">
        <v>7</v>
      </c>
      <c r="E6" s="25">
        <v>5</v>
      </c>
      <c r="F6" s="26">
        <v>0.71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</row>
    <row r="7" spans="1:12" ht="15" customHeight="1" x14ac:dyDescent="0.25">
      <c r="A7" s="27">
        <v>2026</v>
      </c>
      <c r="B7" s="27" t="s">
        <v>198</v>
      </c>
      <c r="C7" s="27" t="s">
        <v>140</v>
      </c>
      <c r="D7" s="28">
        <v>3</v>
      </c>
      <c r="E7" s="28">
        <v>1</v>
      </c>
      <c r="F7" s="29">
        <v>0.33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 customHeight="1" x14ac:dyDescent="0.25">
      <c r="A8" s="24">
        <v>2025</v>
      </c>
      <c r="B8" s="24" t="s">
        <v>198</v>
      </c>
      <c r="C8" s="24" t="s">
        <v>142</v>
      </c>
      <c r="D8" s="25">
        <v>1</v>
      </c>
      <c r="E8" s="25">
        <v>1</v>
      </c>
      <c r="F8" s="26">
        <v>1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</row>
    <row r="9" spans="1:12" ht="15" customHeight="1" x14ac:dyDescent="0.25">
      <c r="A9" s="27">
        <v>2026</v>
      </c>
      <c r="B9" s="27" t="s">
        <v>198</v>
      </c>
      <c r="C9" s="27" t="s">
        <v>142</v>
      </c>
      <c r="D9" s="28">
        <v>0</v>
      </c>
      <c r="E9" s="28">
        <v>0</v>
      </c>
      <c r="F9" s="29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 customHeight="1" x14ac:dyDescent="0.25">
      <c r="A10" s="30">
        <v>2025</v>
      </c>
      <c r="B10" s="30" t="s">
        <v>198</v>
      </c>
      <c r="C10" s="30" t="s">
        <v>143</v>
      </c>
      <c r="D10" s="31">
        <v>26064</v>
      </c>
      <c r="E10" s="31">
        <v>19020</v>
      </c>
      <c r="F10" s="32">
        <v>0.73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</row>
    <row r="11" spans="1:12" ht="15" customHeight="1" x14ac:dyDescent="0.25">
      <c r="A11" s="22">
        <v>2026</v>
      </c>
      <c r="B11" s="22" t="s">
        <v>198</v>
      </c>
      <c r="C11" s="22" t="s">
        <v>143</v>
      </c>
      <c r="D11" s="33">
        <v>27791</v>
      </c>
      <c r="E11" s="33">
        <v>21795</v>
      </c>
      <c r="F11" s="34">
        <v>0.78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</row>
    <row r="12" spans="1:12" ht="15" customHeight="1" x14ac:dyDescent="0.25">
      <c r="A12" s="15" t="s">
        <v>125</v>
      </c>
      <c r="B12" s="15" t="s">
        <v>198</v>
      </c>
      <c r="C12" s="15" t="s">
        <v>143</v>
      </c>
      <c r="D12" s="16">
        <f t="shared" ref="D12:L12" si="0">D11-D10</f>
        <v>1727</v>
      </c>
      <c r="E12" s="16">
        <f t="shared" si="0"/>
        <v>2775</v>
      </c>
      <c r="F12" s="17">
        <f t="shared" si="0"/>
        <v>5.0000000000000044E-2</v>
      </c>
      <c r="G12" s="16">
        <f t="shared" si="0"/>
        <v>0</v>
      </c>
      <c r="H12" s="16">
        <f t="shared" si="0"/>
        <v>0</v>
      </c>
      <c r="I12" s="16">
        <f t="shared" si="0"/>
        <v>0</v>
      </c>
      <c r="J12" s="16">
        <f t="shared" si="0"/>
        <v>0</v>
      </c>
      <c r="K12" s="16">
        <f t="shared" si="0"/>
        <v>0</v>
      </c>
      <c r="L12" s="16">
        <f t="shared" si="0"/>
        <v>0</v>
      </c>
    </row>
    <row r="13" spans="1:12" ht="15" customHeight="1" x14ac:dyDescent="0.25">
      <c r="A13" s="24">
        <v>2025</v>
      </c>
      <c r="B13" s="24" t="s">
        <v>235</v>
      </c>
      <c r="C13" s="24" t="s">
        <v>139</v>
      </c>
      <c r="D13" s="25">
        <v>282</v>
      </c>
      <c r="E13" s="25">
        <v>103</v>
      </c>
      <c r="F13" s="26">
        <v>0.37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</row>
    <row r="14" spans="1:12" ht="15" customHeight="1" x14ac:dyDescent="0.25">
      <c r="A14" s="27">
        <v>2026</v>
      </c>
      <c r="B14" s="27" t="s">
        <v>235</v>
      </c>
      <c r="C14" s="27" t="s">
        <v>139</v>
      </c>
      <c r="D14" s="28">
        <v>175</v>
      </c>
      <c r="E14" s="28">
        <v>110</v>
      </c>
      <c r="F14" s="29">
        <v>0.63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</row>
    <row r="15" spans="1:12" ht="15" customHeight="1" x14ac:dyDescent="0.25">
      <c r="A15" s="24">
        <v>2025</v>
      </c>
      <c r="B15" s="24" t="s">
        <v>235</v>
      </c>
      <c r="C15" s="24" t="s">
        <v>141</v>
      </c>
      <c r="D15" s="25">
        <v>705</v>
      </c>
      <c r="E15" s="25">
        <v>512</v>
      </c>
      <c r="F15" s="26">
        <v>0.73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</row>
    <row r="16" spans="1:12" ht="15" customHeight="1" x14ac:dyDescent="0.25">
      <c r="A16" s="27">
        <v>2026</v>
      </c>
      <c r="B16" s="27" t="s">
        <v>235</v>
      </c>
      <c r="C16" s="27" t="s">
        <v>141</v>
      </c>
      <c r="D16" s="28">
        <v>504</v>
      </c>
      <c r="E16" s="28">
        <v>429</v>
      </c>
      <c r="F16" s="29">
        <v>0.85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</row>
    <row r="17" spans="1:12" ht="15" customHeight="1" x14ac:dyDescent="0.25">
      <c r="A17" s="24">
        <v>2025</v>
      </c>
      <c r="B17" s="24" t="s">
        <v>235</v>
      </c>
      <c r="C17" s="24" t="s">
        <v>140</v>
      </c>
      <c r="D17" s="25">
        <v>2652</v>
      </c>
      <c r="E17" s="25">
        <v>1052</v>
      </c>
      <c r="F17" s="26">
        <v>0.4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</row>
    <row r="18" spans="1:12" ht="15" customHeight="1" x14ac:dyDescent="0.25">
      <c r="A18" s="27">
        <v>2026</v>
      </c>
      <c r="B18" s="27" t="s">
        <v>235</v>
      </c>
      <c r="C18" s="27" t="s">
        <v>140</v>
      </c>
      <c r="D18" s="28">
        <v>2021</v>
      </c>
      <c r="E18" s="28">
        <v>973</v>
      </c>
      <c r="F18" s="29">
        <v>0.48</v>
      </c>
      <c r="G18" s="28">
        <v>0</v>
      </c>
      <c r="H18" s="28">
        <v>0</v>
      </c>
      <c r="I18" s="28">
        <v>0</v>
      </c>
      <c r="J18" s="28">
        <v>1</v>
      </c>
      <c r="K18" s="28">
        <v>0</v>
      </c>
      <c r="L18" s="28">
        <v>0</v>
      </c>
    </row>
    <row r="19" spans="1:12" ht="15" customHeight="1" x14ac:dyDescent="0.25">
      <c r="A19" s="24">
        <v>2025</v>
      </c>
      <c r="B19" s="24" t="s">
        <v>235</v>
      </c>
      <c r="C19" s="24" t="s">
        <v>142</v>
      </c>
      <c r="D19" s="25">
        <v>536</v>
      </c>
      <c r="E19" s="25">
        <v>295</v>
      </c>
      <c r="F19" s="26">
        <v>0.55000000000000004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</row>
    <row r="20" spans="1:12" ht="15" customHeight="1" x14ac:dyDescent="0.25">
      <c r="A20" s="27">
        <v>2026</v>
      </c>
      <c r="B20" s="27" t="s">
        <v>235</v>
      </c>
      <c r="C20" s="27" t="s">
        <v>142</v>
      </c>
      <c r="D20" s="28">
        <v>537</v>
      </c>
      <c r="E20" s="28">
        <v>328</v>
      </c>
      <c r="F20" s="29">
        <v>0.61</v>
      </c>
      <c r="G20" s="28">
        <v>3</v>
      </c>
      <c r="H20" s="28">
        <v>6</v>
      </c>
      <c r="I20" s="28">
        <v>0</v>
      </c>
      <c r="J20" s="28">
        <v>0</v>
      </c>
      <c r="K20" s="28">
        <v>0</v>
      </c>
      <c r="L20" s="28">
        <v>0</v>
      </c>
    </row>
    <row r="21" spans="1:12" ht="15" customHeight="1" x14ac:dyDescent="0.25">
      <c r="A21" s="30">
        <v>2025</v>
      </c>
      <c r="B21" s="30" t="s">
        <v>235</v>
      </c>
      <c r="C21" s="30" t="s">
        <v>143</v>
      </c>
      <c r="D21" s="31">
        <v>4175</v>
      </c>
      <c r="E21" s="31">
        <v>1962</v>
      </c>
      <c r="F21" s="32">
        <v>0.47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</row>
    <row r="22" spans="1:12" ht="15" customHeight="1" x14ac:dyDescent="0.25">
      <c r="A22" s="22">
        <v>2026</v>
      </c>
      <c r="B22" s="22" t="s">
        <v>235</v>
      </c>
      <c r="C22" s="22" t="s">
        <v>143</v>
      </c>
      <c r="D22" s="33">
        <v>3237</v>
      </c>
      <c r="E22" s="33">
        <v>1840</v>
      </c>
      <c r="F22" s="34">
        <v>0.56999999999999995</v>
      </c>
      <c r="G22" s="33">
        <v>3</v>
      </c>
      <c r="H22" s="33">
        <v>6</v>
      </c>
      <c r="I22" s="33">
        <v>0</v>
      </c>
      <c r="J22" s="33">
        <v>1</v>
      </c>
      <c r="K22" s="33">
        <v>0</v>
      </c>
      <c r="L22" s="33">
        <v>0</v>
      </c>
    </row>
    <row r="23" spans="1:12" ht="15" customHeight="1" x14ac:dyDescent="0.25">
      <c r="A23" s="15" t="s">
        <v>125</v>
      </c>
      <c r="B23" s="15" t="s">
        <v>235</v>
      </c>
      <c r="C23" s="15" t="s">
        <v>143</v>
      </c>
      <c r="D23" s="16">
        <f t="shared" ref="D23:L23" si="1">D22-D21</f>
        <v>-938</v>
      </c>
      <c r="E23" s="16">
        <f t="shared" si="1"/>
        <v>-122</v>
      </c>
      <c r="F23" s="17">
        <f t="shared" si="1"/>
        <v>9.9999999999999978E-2</v>
      </c>
      <c r="G23" s="16">
        <f t="shared" si="1"/>
        <v>3</v>
      </c>
      <c r="H23" s="16">
        <f t="shared" si="1"/>
        <v>6</v>
      </c>
      <c r="I23" s="16">
        <f t="shared" si="1"/>
        <v>0</v>
      </c>
      <c r="J23" s="16">
        <f t="shared" si="1"/>
        <v>1</v>
      </c>
      <c r="K23" s="16">
        <f t="shared" si="1"/>
        <v>0</v>
      </c>
      <c r="L23" s="16">
        <f t="shared" si="1"/>
        <v>0</v>
      </c>
    </row>
    <row r="24" spans="1:12" ht="15" customHeight="1" x14ac:dyDescent="0.25">
      <c r="A24" s="30">
        <v>2025</v>
      </c>
      <c r="B24" s="30" t="s">
        <v>144</v>
      </c>
      <c r="C24" s="30" t="s">
        <v>305</v>
      </c>
      <c r="D24" s="31">
        <v>30239</v>
      </c>
      <c r="E24" s="31">
        <v>20982</v>
      </c>
      <c r="F24" s="32">
        <v>0.69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</row>
    <row r="25" spans="1:12" ht="15" customHeight="1" x14ac:dyDescent="0.25">
      <c r="A25" s="22">
        <v>2026</v>
      </c>
      <c r="B25" s="22" t="s">
        <v>144</v>
      </c>
      <c r="C25" s="22" t="s">
        <v>305</v>
      </c>
      <c r="D25" s="33">
        <v>31028</v>
      </c>
      <c r="E25" s="33">
        <v>23635</v>
      </c>
      <c r="F25" s="34">
        <v>0.76</v>
      </c>
      <c r="G25" s="33">
        <v>3</v>
      </c>
      <c r="H25" s="33">
        <v>6</v>
      </c>
      <c r="I25" s="33">
        <v>0</v>
      </c>
      <c r="J25" s="33">
        <v>1</v>
      </c>
      <c r="K25" s="33">
        <v>0</v>
      </c>
      <c r="L25" s="33">
        <v>0</v>
      </c>
    </row>
    <row r="26" spans="1:12" ht="15" customHeight="1" x14ac:dyDescent="0.25">
      <c r="A26" s="15" t="s">
        <v>125</v>
      </c>
      <c r="B26" s="15" t="s">
        <v>144</v>
      </c>
      <c r="C26" s="15" t="s">
        <v>305</v>
      </c>
      <c r="D26" s="16">
        <f t="shared" ref="D26:L26" si="2">D25-D24</f>
        <v>789</v>
      </c>
      <c r="E26" s="16">
        <f t="shared" si="2"/>
        <v>2653</v>
      </c>
      <c r="F26" s="17">
        <f t="shared" si="2"/>
        <v>7.0000000000000062E-2</v>
      </c>
      <c r="G26" s="16">
        <f t="shared" si="2"/>
        <v>3</v>
      </c>
      <c r="H26" s="16">
        <f t="shared" si="2"/>
        <v>6</v>
      </c>
      <c r="I26" s="16">
        <f t="shared" si="2"/>
        <v>0</v>
      </c>
      <c r="J26" s="16">
        <f t="shared" si="2"/>
        <v>1</v>
      </c>
      <c r="K26" s="16">
        <f t="shared" si="2"/>
        <v>0</v>
      </c>
      <c r="L26" s="16">
        <f t="shared" si="2"/>
        <v>0</v>
      </c>
    </row>
  </sheetData>
  <autoFilter ref="A1:L26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4" customWidth="1"/>
    <col min="4" max="4" width="12" customWidth="1"/>
  </cols>
  <sheetData>
    <row r="1" spans="1:4" ht="15" customHeight="1" x14ac:dyDescent="0.25">
      <c r="A1" s="35" t="s">
        <v>121</v>
      </c>
      <c r="B1" s="35" t="s">
        <v>122</v>
      </c>
      <c r="C1" s="35" t="s">
        <v>123</v>
      </c>
      <c r="D1" s="35" t="s">
        <v>132</v>
      </c>
    </row>
    <row r="2" spans="1:4" ht="15" customHeight="1" x14ac:dyDescent="0.25">
      <c r="A2" s="36">
        <v>2025</v>
      </c>
      <c r="B2" s="36">
        <v>205182</v>
      </c>
      <c r="C2" s="36">
        <v>105769</v>
      </c>
      <c r="D2" s="37">
        <f>C2/B2</f>
        <v>0.51548868809154802</v>
      </c>
    </row>
    <row r="3" spans="1:4" ht="15" customHeight="1" x14ac:dyDescent="0.25">
      <c r="A3" s="38">
        <v>2026</v>
      </c>
      <c r="B3" s="38">
        <v>196656</v>
      </c>
      <c r="C3" s="38">
        <v>100708</v>
      </c>
      <c r="D3" s="39">
        <f>C3/B3</f>
        <v>0.51210235131396953</v>
      </c>
    </row>
    <row r="4" spans="1:4" ht="15" customHeight="1" x14ac:dyDescent="0.25">
      <c r="A4" s="40" t="s">
        <v>125</v>
      </c>
      <c r="B4" s="40">
        <f>B3-B2</f>
        <v>-8526</v>
      </c>
      <c r="C4" s="40">
        <f>C3-C2</f>
        <v>-5061</v>
      </c>
      <c r="D4" s="41">
        <f>D3-D2</f>
        <v>-3.3863367775784914E-3</v>
      </c>
    </row>
  </sheetData>
  <autoFilter ref="A1:D4" xr:uid="{00000000-0009-0000-0000-00000D000000}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6" customWidth="1"/>
    <col min="3" max="3" width="24" customWidth="1"/>
    <col min="4" max="4" width="12" customWidth="1"/>
    <col min="6" max="6" width="14" customWidth="1"/>
    <col min="7" max="7" width="12" customWidth="1"/>
  </cols>
  <sheetData>
    <row r="1" spans="1:7" ht="26.25" customHeight="1" x14ac:dyDescent="0.25">
      <c r="A1" s="35" t="s">
        <v>121</v>
      </c>
      <c r="B1" s="35" t="s">
        <v>247</v>
      </c>
      <c r="C1" s="35" t="s">
        <v>130</v>
      </c>
      <c r="D1" s="35" t="s">
        <v>122</v>
      </c>
      <c r="E1" s="35" t="s">
        <v>306</v>
      </c>
      <c r="F1" s="35" t="s">
        <v>307</v>
      </c>
      <c r="G1" s="35" t="s">
        <v>132</v>
      </c>
    </row>
    <row r="2" spans="1:7" ht="15" customHeight="1" x14ac:dyDescent="0.25">
      <c r="A2" s="36">
        <v>2025</v>
      </c>
      <c r="B2" s="36" t="s">
        <v>308</v>
      </c>
      <c r="C2" s="36" t="s">
        <v>198</v>
      </c>
      <c r="D2" s="36">
        <v>12810</v>
      </c>
      <c r="E2" s="36">
        <v>7123</v>
      </c>
      <c r="F2" s="36">
        <v>5687</v>
      </c>
      <c r="G2" s="37">
        <f t="shared" ref="G2:G33" si="0">IF(D2=0,0,E2/D2)</f>
        <v>0.55604996096799375</v>
      </c>
    </row>
    <row r="3" spans="1:7" ht="15" customHeight="1" x14ac:dyDescent="0.25">
      <c r="A3" s="36">
        <v>2025</v>
      </c>
      <c r="B3" s="36" t="s">
        <v>308</v>
      </c>
      <c r="C3" s="36" t="s">
        <v>309</v>
      </c>
      <c r="D3" s="36">
        <v>806</v>
      </c>
      <c r="E3" s="36">
        <v>384</v>
      </c>
      <c r="F3" s="36">
        <v>422</v>
      </c>
      <c r="G3" s="37">
        <f t="shared" si="0"/>
        <v>0.47642679900744417</v>
      </c>
    </row>
    <row r="4" spans="1:7" ht="15" customHeight="1" x14ac:dyDescent="0.25">
      <c r="A4" s="36">
        <v>2025</v>
      </c>
      <c r="B4" s="36" t="s">
        <v>308</v>
      </c>
      <c r="C4" s="36" t="s">
        <v>310</v>
      </c>
      <c r="D4" s="36">
        <v>11</v>
      </c>
      <c r="E4" s="36">
        <v>11</v>
      </c>
      <c r="F4" s="36">
        <v>0</v>
      </c>
      <c r="G4" s="37">
        <f t="shared" si="0"/>
        <v>1</v>
      </c>
    </row>
    <row r="5" spans="1:7" ht="15" customHeight="1" x14ac:dyDescent="0.25">
      <c r="A5" s="36">
        <v>2025</v>
      </c>
      <c r="B5" s="36" t="s">
        <v>308</v>
      </c>
      <c r="C5" s="36" t="s">
        <v>311</v>
      </c>
      <c r="D5" s="36">
        <v>13627</v>
      </c>
      <c r="E5" s="36">
        <v>7518</v>
      </c>
      <c r="F5" s="36">
        <v>6109</v>
      </c>
      <c r="G5" s="37">
        <f t="shared" si="0"/>
        <v>0.55169883319879653</v>
      </c>
    </row>
    <row r="6" spans="1:7" ht="15" customHeight="1" x14ac:dyDescent="0.25">
      <c r="A6" s="36">
        <v>2025</v>
      </c>
      <c r="B6" s="36" t="s">
        <v>312</v>
      </c>
      <c r="C6" s="36" t="s">
        <v>198</v>
      </c>
      <c r="D6" s="36">
        <v>76123</v>
      </c>
      <c r="E6" s="36">
        <v>41729</v>
      </c>
      <c r="F6" s="36">
        <v>34394</v>
      </c>
      <c r="G6" s="37">
        <f t="shared" si="0"/>
        <v>0.54817860567765331</v>
      </c>
    </row>
    <row r="7" spans="1:7" ht="15" customHeight="1" x14ac:dyDescent="0.25">
      <c r="A7" s="36">
        <v>2025</v>
      </c>
      <c r="B7" s="36" t="s">
        <v>312</v>
      </c>
      <c r="C7" s="36" t="s">
        <v>309</v>
      </c>
      <c r="D7" s="36">
        <v>23135</v>
      </c>
      <c r="E7" s="36">
        <v>10605</v>
      </c>
      <c r="F7" s="36">
        <v>12530</v>
      </c>
      <c r="G7" s="37">
        <f t="shared" si="0"/>
        <v>0.45839636913767018</v>
      </c>
    </row>
    <row r="8" spans="1:7" ht="15" customHeight="1" x14ac:dyDescent="0.25">
      <c r="A8" s="36">
        <v>2025</v>
      </c>
      <c r="B8" s="36" t="s">
        <v>312</v>
      </c>
      <c r="C8" s="36" t="s">
        <v>310</v>
      </c>
      <c r="D8" s="36">
        <v>77</v>
      </c>
      <c r="E8" s="36">
        <v>74</v>
      </c>
      <c r="F8" s="36">
        <v>3</v>
      </c>
      <c r="G8" s="37">
        <f t="shared" si="0"/>
        <v>0.96103896103896103</v>
      </c>
    </row>
    <row r="9" spans="1:7" ht="15" customHeight="1" x14ac:dyDescent="0.25">
      <c r="A9" s="36">
        <v>2025</v>
      </c>
      <c r="B9" s="36" t="s">
        <v>312</v>
      </c>
      <c r="C9" s="36" t="s">
        <v>311</v>
      </c>
      <c r="D9" s="36">
        <v>99335</v>
      </c>
      <c r="E9" s="36">
        <v>52408</v>
      </c>
      <c r="F9" s="36">
        <v>46927</v>
      </c>
      <c r="G9" s="37">
        <f t="shared" si="0"/>
        <v>0.52758846328081743</v>
      </c>
    </row>
    <row r="10" spans="1:7" ht="15" customHeight="1" x14ac:dyDescent="0.25">
      <c r="A10" s="36">
        <v>2025</v>
      </c>
      <c r="B10" s="36" t="s">
        <v>313</v>
      </c>
      <c r="C10" s="36" t="s">
        <v>198</v>
      </c>
      <c r="D10" s="36">
        <v>30982</v>
      </c>
      <c r="E10" s="36">
        <v>19317</v>
      </c>
      <c r="F10" s="36">
        <v>11665</v>
      </c>
      <c r="G10" s="37">
        <f t="shared" si="0"/>
        <v>0.62349105932476923</v>
      </c>
    </row>
    <row r="11" spans="1:7" ht="15" customHeight="1" x14ac:dyDescent="0.25">
      <c r="A11" s="36">
        <v>2025</v>
      </c>
      <c r="B11" s="36" t="s">
        <v>313</v>
      </c>
      <c r="C11" s="36" t="s">
        <v>309</v>
      </c>
      <c r="D11" s="36">
        <v>1047</v>
      </c>
      <c r="E11" s="36">
        <v>534</v>
      </c>
      <c r="F11" s="36">
        <v>513</v>
      </c>
      <c r="G11" s="37">
        <f t="shared" si="0"/>
        <v>0.51002865329512892</v>
      </c>
    </row>
    <row r="12" spans="1:7" ht="15" customHeight="1" x14ac:dyDescent="0.25">
      <c r="A12" s="36">
        <v>2025</v>
      </c>
      <c r="B12" s="36" t="s">
        <v>313</v>
      </c>
      <c r="C12" s="36" t="s">
        <v>310</v>
      </c>
      <c r="D12" s="36">
        <v>14</v>
      </c>
      <c r="E12" s="36">
        <v>14</v>
      </c>
      <c r="F12" s="36">
        <v>0</v>
      </c>
      <c r="G12" s="37">
        <f t="shared" si="0"/>
        <v>1</v>
      </c>
    </row>
    <row r="13" spans="1:7" ht="15" customHeight="1" x14ac:dyDescent="0.25">
      <c r="A13" s="36">
        <v>2025</v>
      </c>
      <c r="B13" s="36" t="s">
        <v>313</v>
      </c>
      <c r="C13" s="36" t="s">
        <v>311</v>
      </c>
      <c r="D13" s="36">
        <v>32043</v>
      </c>
      <c r="E13" s="36">
        <v>19865</v>
      </c>
      <c r="F13" s="36">
        <v>12178</v>
      </c>
      <c r="G13" s="37">
        <f t="shared" si="0"/>
        <v>0.61994819461348816</v>
      </c>
    </row>
    <row r="14" spans="1:7" ht="15" customHeight="1" x14ac:dyDescent="0.25">
      <c r="A14" s="36">
        <v>2025</v>
      </c>
      <c r="B14" s="36" t="s">
        <v>314</v>
      </c>
      <c r="C14" s="36" t="s">
        <v>198</v>
      </c>
      <c r="D14" s="36">
        <v>24141</v>
      </c>
      <c r="E14" s="36">
        <v>12614</v>
      </c>
      <c r="F14" s="36">
        <v>11527</v>
      </c>
      <c r="G14" s="37">
        <f t="shared" si="0"/>
        <v>0.52251356613230604</v>
      </c>
    </row>
    <row r="15" spans="1:7" ht="15" customHeight="1" x14ac:dyDescent="0.25">
      <c r="A15" s="36">
        <v>2025</v>
      </c>
      <c r="B15" s="36" t="s">
        <v>314</v>
      </c>
      <c r="C15" s="36" t="s">
        <v>309</v>
      </c>
      <c r="D15" s="36">
        <v>5028</v>
      </c>
      <c r="E15" s="36">
        <v>2330</v>
      </c>
      <c r="F15" s="36">
        <v>2698</v>
      </c>
      <c r="G15" s="37">
        <f t="shared" si="0"/>
        <v>0.46340493237867941</v>
      </c>
    </row>
    <row r="16" spans="1:7" ht="15" customHeight="1" x14ac:dyDescent="0.25">
      <c r="A16" s="36">
        <v>2025</v>
      </c>
      <c r="B16" s="36" t="s">
        <v>314</v>
      </c>
      <c r="C16" s="36" t="s">
        <v>310</v>
      </c>
      <c r="D16" s="36">
        <v>32</v>
      </c>
      <c r="E16" s="36">
        <v>31</v>
      </c>
      <c r="F16" s="36">
        <v>1</v>
      </c>
      <c r="G16" s="37">
        <f t="shared" si="0"/>
        <v>0.96875</v>
      </c>
    </row>
    <row r="17" spans="1:7" ht="15" customHeight="1" x14ac:dyDescent="0.25">
      <c r="A17" s="36">
        <v>2025</v>
      </c>
      <c r="B17" s="36" t="s">
        <v>314</v>
      </c>
      <c r="C17" s="36" t="s">
        <v>311</v>
      </c>
      <c r="D17" s="36">
        <v>29201</v>
      </c>
      <c r="E17" s="36">
        <v>14975</v>
      </c>
      <c r="F17" s="36">
        <v>14226</v>
      </c>
      <c r="G17" s="37">
        <f t="shared" si="0"/>
        <v>0.5128249032567378</v>
      </c>
    </row>
    <row r="18" spans="1:7" ht="15" customHeight="1" x14ac:dyDescent="0.25">
      <c r="A18" s="36">
        <v>2025</v>
      </c>
      <c r="B18" s="36" t="s">
        <v>246</v>
      </c>
      <c r="C18" s="36" t="s">
        <v>315</v>
      </c>
      <c r="D18" s="36">
        <v>174206</v>
      </c>
      <c r="E18" s="36">
        <v>94766</v>
      </c>
      <c r="F18" s="36">
        <v>79440</v>
      </c>
      <c r="G18" s="37">
        <f t="shared" si="0"/>
        <v>0.54398815195802674</v>
      </c>
    </row>
    <row r="19" spans="1:7" ht="15" customHeight="1" x14ac:dyDescent="0.25">
      <c r="A19" s="38">
        <v>2026</v>
      </c>
      <c r="B19" s="38" t="s">
        <v>308</v>
      </c>
      <c r="C19" s="38" t="s">
        <v>198</v>
      </c>
      <c r="D19" s="38">
        <v>11077</v>
      </c>
      <c r="E19" s="38">
        <v>5354</v>
      </c>
      <c r="F19" s="38">
        <v>5723</v>
      </c>
      <c r="G19" s="39">
        <f t="shared" si="0"/>
        <v>0.48334386566759951</v>
      </c>
    </row>
    <row r="20" spans="1:7" ht="15" customHeight="1" x14ac:dyDescent="0.25">
      <c r="A20" s="38">
        <v>2026</v>
      </c>
      <c r="B20" s="38" t="s">
        <v>308</v>
      </c>
      <c r="C20" s="38" t="s">
        <v>309</v>
      </c>
      <c r="D20" s="38">
        <v>1111</v>
      </c>
      <c r="E20" s="38">
        <v>292</v>
      </c>
      <c r="F20" s="38">
        <v>819</v>
      </c>
      <c r="G20" s="39">
        <f t="shared" si="0"/>
        <v>0.26282628262826285</v>
      </c>
    </row>
    <row r="21" spans="1:7" ht="15" customHeight="1" x14ac:dyDescent="0.25">
      <c r="A21" s="38">
        <v>2026</v>
      </c>
      <c r="B21" s="38" t="s">
        <v>308</v>
      </c>
      <c r="C21" s="38" t="s">
        <v>310</v>
      </c>
      <c r="D21" s="38">
        <v>11</v>
      </c>
      <c r="E21" s="38">
        <v>11</v>
      </c>
      <c r="F21" s="38">
        <v>0</v>
      </c>
      <c r="G21" s="39">
        <f t="shared" si="0"/>
        <v>1</v>
      </c>
    </row>
    <row r="22" spans="1:7" ht="15" customHeight="1" x14ac:dyDescent="0.25">
      <c r="A22" s="38">
        <v>2026</v>
      </c>
      <c r="B22" s="38" t="s">
        <v>308</v>
      </c>
      <c r="C22" s="38" t="s">
        <v>157</v>
      </c>
      <c r="D22" s="38">
        <v>814</v>
      </c>
      <c r="E22" s="38">
        <v>313</v>
      </c>
      <c r="F22" s="38">
        <v>501</v>
      </c>
      <c r="G22" s="39">
        <f t="shared" si="0"/>
        <v>0.38452088452088451</v>
      </c>
    </row>
    <row r="23" spans="1:7" ht="15" customHeight="1" x14ac:dyDescent="0.25">
      <c r="A23" s="38">
        <v>2026</v>
      </c>
      <c r="B23" s="38" t="s">
        <v>308</v>
      </c>
      <c r="C23" s="38" t="s">
        <v>316</v>
      </c>
      <c r="D23" s="38">
        <v>80</v>
      </c>
      <c r="E23" s="38">
        <v>7</v>
      </c>
      <c r="F23" s="38">
        <v>73</v>
      </c>
      <c r="G23" s="39">
        <f t="shared" si="0"/>
        <v>8.7499999999999994E-2</v>
      </c>
    </row>
    <row r="24" spans="1:7" ht="15" customHeight="1" x14ac:dyDescent="0.25">
      <c r="A24" s="38">
        <v>2026</v>
      </c>
      <c r="B24" s="38" t="s">
        <v>308</v>
      </c>
      <c r="C24" s="38" t="s">
        <v>317</v>
      </c>
      <c r="D24" s="38">
        <v>110</v>
      </c>
      <c r="E24" s="38">
        <v>65</v>
      </c>
      <c r="F24" s="38">
        <v>45</v>
      </c>
      <c r="G24" s="39">
        <f t="shared" si="0"/>
        <v>0.59090909090909094</v>
      </c>
    </row>
    <row r="25" spans="1:7" ht="15" customHeight="1" x14ac:dyDescent="0.25">
      <c r="A25" s="38">
        <v>2026</v>
      </c>
      <c r="B25" s="38" t="s">
        <v>308</v>
      </c>
      <c r="C25" s="38" t="s">
        <v>318</v>
      </c>
      <c r="D25" s="38">
        <v>12</v>
      </c>
      <c r="E25" s="38">
        <v>1</v>
      </c>
      <c r="F25" s="38">
        <v>11</v>
      </c>
      <c r="G25" s="39">
        <f t="shared" si="0"/>
        <v>8.3333333333333329E-2</v>
      </c>
    </row>
    <row r="26" spans="1:7" ht="15" customHeight="1" x14ac:dyDescent="0.25">
      <c r="A26" s="38">
        <v>2026</v>
      </c>
      <c r="B26" s="38" t="s">
        <v>308</v>
      </c>
      <c r="C26" s="38" t="s">
        <v>311</v>
      </c>
      <c r="D26" s="38">
        <v>13215</v>
      </c>
      <c r="E26" s="38">
        <v>6043</v>
      </c>
      <c r="F26" s="38">
        <v>7172</v>
      </c>
      <c r="G26" s="39">
        <f t="shared" si="0"/>
        <v>0.45728339008702235</v>
      </c>
    </row>
    <row r="27" spans="1:7" ht="15" customHeight="1" x14ac:dyDescent="0.25">
      <c r="A27" s="38">
        <v>2026</v>
      </c>
      <c r="B27" s="38" t="s">
        <v>312</v>
      </c>
      <c r="C27" s="38" t="s">
        <v>198</v>
      </c>
      <c r="D27" s="38">
        <v>68975</v>
      </c>
      <c r="E27" s="38">
        <v>42004</v>
      </c>
      <c r="F27" s="38">
        <v>26971</v>
      </c>
      <c r="G27" s="39">
        <f t="shared" si="0"/>
        <v>0.60897426603841975</v>
      </c>
    </row>
    <row r="28" spans="1:7" ht="15" customHeight="1" x14ac:dyDescent="0.25">
      <c r="A28" s="38">
        <v>2026</v>
      </c>
      <c r="B28" s="38" t="s">
        <v>312</v>
      </c>
      <c r="C28" s="38" t="s">
        <v>309</v>
      </c>
      <c r="D28" s="38">
        <v>24000</v>
      </c>
      <c r="E28" s="38">
        <v>6977</v>
      </c>
      <c r="F28" s="38">
        <v>17023</v>
      </c>
      <c r="G28" s="39">
        <f t="shared" si="0"/>
        <v>0.29070833333333335</v>
      </c>
    </row>
    <row r="29" spans="1:7" ht="15" customHeight="1" x14ac:dyDescent="0.25">
      <c r="A29" s="38">
        <v>2026</v>
      </c>
      <c r="B29" s="38" t="s">
        <v>312</v>
      </c>
      <c r="C29" s="38" t="s">
        <v>310</v>
      </c>
      <c r="D29" s="38">
        <v>69</v>
      </c>
      <c r="E29" s="38">
        <v>69</v>
      </c>
      <c r="F29" s="38">
        <v>0</v>
      </c>
      <c r="G29" s="39">
        <f t="shared" si="0"/>
        <v>1</v>
      </c>
    </row>
    <row r="30" spans="1:7" ht="15" customHeight="1" x14ac:dyDescent="0.25">
      <c r="A30" s="38">
        <v>2026</v>
      </c>
      <c r="B30" s="38" t="s">
        <v>312</v>
      </c>
      <c r="C30" s="38" t="s">
        <v>157</v>
      </c>
      <c r="D30" s="38">
        <v>1044</v>
      </c>
      <c r="E30" s="38">
        <v>431</v>
      </c>
      <c r="F30" s="38">
        <v>613</v>
      </c>
      <c r="G30" s="39">
        <f t="shared" si="0"/>
        <v>0.41283524904214558</v>
      </c>
    </row>
    <row r="31" spans="1:7" ht="15" customHeight="1" x14ac:dyDescent="0.25">
      <c r="A31" s="38">
        <v>2026</v>
      </c>
      <c r="B31" s="38" t="s">
        <v>312</v>
      </c>
      <c r="C31" s="38" t="s">
        <v>317</v>
      </c>
      <c r="D31" s="38">
        <v>467</v>
      </c>
      <c r="E31" s="38">
        <v>154</v>
      </c>
      <c r="F31" s="38">
        <v>313</v>
      </c>
      <c r="G31" s="39">
        <f t="shared" si="0"/>
        <v>0.32976445396145609</v>
      </c>
    </row>
    <row r="32" spans="1:7" ht="15" customHeight="1" x14ac:dyDescent="0.25">
      <c r="A32" s="38">
        <v>2026</v>
      </c>
      <c r="B32" s="38" t="s">
        <v>312</v>
      </c>
      <c r="C32" s="38" t="s">
        <v>316</v>
      </c>
      <c r="D32" s="38">
        <v>358</v>
      </c>
      <c r="E32" s="38">
        <v>76</v>
      </c>
      <c r="F32" s="38">
        <v>282</v>
      </c>
      <c r="G32" s="39">
        <f t="shared" si="0"/>
        <v>0.21229050279329609</v>
      </c>
    </row>
    <row r="33" spans="1:7" ht="15" customHeight="1" x14ac:dyDescent="0.25">
      <c r="A33" s="38">
        <v>2026</v>
      </c>
      <c r="B33" s="38" t="s">
        <v>312</v>
      </c>
      <c r="C33" s="38" t="s">
        <v>318</v>
      </c>
      <c r="D33" s="38">
        <v>13</v>
      </c>
      <c r="E33" s="38">
        <v>6</v>
      </c>
      <c r="F33" s="38">
        <v>7</v>
      </c>
      <c r="G33" s="39">
        <f t="shared" si="0"/>
        <v>0.46153846153846156</v>
      </c>
    </row>
    <row r="34" spans="1:7" ht="15" customHeight="1" x14ac:dyDescent="0.25">
      <c r="A34" s="38">
        <v>2026</v>
      </c>
      <c r="B34" s="38" t="s">
        <v>312</v>
      </c>
      <c r="C34" s="38" t="s">
        <v>311</v>
      </c>
      <c r="D34" s="38">
        <v>94926</v>
      </c>
      <c r="E34" s="38">
        <v>49717</v>
      </c>
      <c r="F34" s="38">
        <v>45209</v>
      </c>
      <c r="G34" s="39">
        <f t="shared" ref="G34:G51" si="1">IF(D34=0,0,E34/D34)</f>
        <v>0.5237448117480985</v>
      </c>
    </row>
    <row r="35" spans="1:7" ht="15" customHeight="1" x14ac:dyDescent="0.25">
      <c r="A35" s="38">
        <v>2026</v>
      </c>
      <c r="B35" s="38" t="s">
        <v>313</v>
      </c>
      <c r="C35" s="38" t="s">
        <v>198</v>
      </c>
      <c r="D35" s="38">
        <v>29177</v>
      </c>
      <c r="E35" s="38">
        <v>18940</v>
      </c>
      <c r="F35" s="38">
        <v>10237</v>
      </c>
      <c r="G35" s="39">
        <f t="shared" si="1"/>
        <v>0.64914144703019505</v>
      </c>
    </row>
    <row r="36" spans="1:7" ht="15" customHeight="1" x14ac:dyDescent="0.25">
      <c r="A36" s="38">
        <v>2026</v>
      </c>
      <c r="B36" s="38" t="s">
        <v>313</v>
      </c>
      <c r="C36" s="38" t="s">
        <v>309</v>
      </c>
      <c r="D36" s="38">
        <v>846</v>
      </c>
      <c r="E36" s="38">
        <v>261</v>
      </c>
      <c r="F36" s="38">
        <v>585</v>
      </c>
      <c r="G36" s="39">
        <f t="shared" si="1"/>
        <v>0.30851063829787234</v>
      </c>
    </row>
    <row r="37" spans="1:7" ht="15" customHeight="1" x14ac:dyDescent="0.25">
      <c r="A37" s="38">
        <v>2026</v>
      </c>
      <c r="B37" s="38" t="s">
        <v>313</v>
      </c>
      <c r="C37" s="38" t="s">
        <v>157</v>
      </c>
      <c r="D37" s="38">
        <v>1279</v>
      </c>
      <c r="E37" s="38">
        <v>610</v>
      </c>
      <c r="F37" s="38">
        <v>669</v>
      </c>
      <c r="G37" s="39">
        <f t="shared" si="1"/>
        <v>0.47693510555121188</v>
      </c>
    </row>
    <row r="38" spans="1:7" ht="15" customHeight="1" x14ac:dyDescent="0.25">
      <c r="A38" s="38">
        <v>2026</v>
      </c>
      <c r="B38" s="38" t="s">
        <v>313</v>
      </c>
      <c r="C38" s="38" t="s">
        <v>317</v>
      </c>
      <c r="D38" s="38">
        <v>383</v>
      </c>
      <c r="E38" s="38">
        <v>242</v>
      </c>
      <c r="F38" s="38">
        <v>141</v>
      </c>
      <c r="G38" s="39">
        <f t="shared" si="1"/>
        <v>0.63185378590078334</v>
      </c>
    </row>
    <row r="39" spans="1:7" ht="15" customHeight="1" x14ac:dyDescent="0.25">
      <c r="A39" s="38">
        <v>2026</v>
      </c>
      <c r="B39" s="38" t="s">
        <v>313</v>
      </c>
      <c r="C39" s="38" t="s">
        <v>316</v>
      </c>
      <c r="D39" s="38">
        <v>177</v>
      </c>
      <c r="E39" s="38">
        <v>69</v>
      </c>
      <c r="F39" s="38">
        <v>108</v>
      </c>
      <c r="G39" s="39">
        <f t="shared" si="1"/>
        <v>0.38983050847457629</v>
      </c>
    </row>
    <row r="40" spans="1:7" ht="15" customHeight="1" x14ac:dyDescent="0.25">
      <c r="A40" s="38">
        <v>2026</v>
      </c>
      <c r="B40" s="38" t="s">
        <v>313</v>
      </c>
      <c r="C40" s="38" t="s">
        <v>310</v>
      </c>
      <c r="D40" s="38">
        <v>9</v>
      </c>
      <c r="E40" s="38">
        <v>9</v>
      </c>
      <c r="F40" s="38">
        <v>0</v>
      </c>
      <c r="G40" s="39">
        <f t="shared" si="1"/>
        <v>1</v>
      </c>
    </row>
    <row r="41" spans="1:7" ht="15" customHeight="1" x14ac:dyDescent="0.25">
      <c r="A41" s="38">
        <v>2026</v>
      </c>
      <c r="B41" s="38" t="s">
        <v>313</v>
      </c>
      <c r="C41" s="38" t="s">
        <v>318</v>
      </c>
      <c r="D41" s="38">
        <v>3</v>
      </c>
      <c r="E41" s="38">
        <v>0</v>
      </c>
      <c r="F41" s="38">
        <v>3</v>
      </c>
      <c r="G41" s="39">
        <f t="shared" si="1"/>
        <v>0</v>
      </c>
    </row>
    <row r="42" spans="1:7" ht="15" customHeight="1" x14ac:dyDescent="0.25">
      <c r="A42" s="38">
        <v>2026</v>
      </c>
      <c r="B42" s="38" t="s">
        <v>313</v>
      </c>
      <c r="C42" s="38" t="s">
        <v>311</v>
      </c>
      <c r="D42" s="38">
        <v>31874</v>
      </c>
      <c r="E42" s="38">
        <v>20131</v>
      </c>
      <c r="F42" s="38">
        <v>11743</v>
      </c>
      <c r="G42" s="39">
        <f t="shared" si="1"/>
        <v>0.6315805986070151</v>
      </c>
    </row>
    <row r="43" spans="1:7" ht="15" customHeight="1" x14ac:dyDescent="0.25">
      <c r="A43" s="38">
        <v>2026</v>
      </c>
      <c r="B43" s="38" t="s">
        <v>314</v>
      </c>
      <c r="C43" s="38" t="s">
        <v>198</v>
      </c>
      <c r="D43" s="38">
        <v>22758</v>
      </c>
      <c r="E43" s="38">
        <v>13489</v>
      </c>
      <c r="F43" s="38">
        <v>9269</v>
      </c>
      <c r="G43" s="39">
        <f t="shared" si="1"/>
        <v>0.59271464979347921</v>
      </c>
    </row>
    <row r="44" spans="1:7" ht="15" customHeight="1" x14ac:dyDescent="0.25">
      <c r="A44" s="38">
        <v>2026</v>
      </c>
      <c r="B44" s="38" t="s">
        <v>314</v>
      </c>
      <c r="C44" s="38" t="s">
        <v>309</v>
      </c>
      <c r="D44" s="38">
        <v>4711</v>
      </c>
      <c r="E44" s="38">
        <v>1694</v>
      </c>
      <c r="F44" s="38">
        <v>3017</v>
      </c>
      <c r="G44" s="39">
        <f t="shared" si="1"/>
        <v>0.35958395245170877</v>
      </c>
    </row>
    <row r="45" spans="1:7" ht="15" customHeight="1" x14ac:dyDescent="0.25">
      <c r="A45" s="38">
        <v>2026</v>
      </c>
      <c r="B45" s="38" t="s">
        <v>314</v>
      </c>
      <c r="C45" s="38" t="s">
        <v>310</v>
      </c>
      <c r="D45" s="38">
        <v>28</v>
      </c>
      <c r="E45" s="38">
        <v>28</v>
      </c>
      <c r="F45" s="38">
        <v>0</v>
      </c>
      <c r="G45" s="39">
        <f t="shared" si="1"/>
        <v>1</v>
      </c>
    </row>
    <row r="46" spans="1:7" ht="15" customHeight="1" x14ac:dyDescent="0.25">
      <c r="A46" s="38">
        <v>2026</v>
      </c>
      <c r="B46" s="38" t="s">
        <v>314</v>
      </c>
      <c r="C46" s="38" t="s">
        <v>157</v>
      </c>
      <c r="D46" s="38">
        <v>398</v>
      </c>
      <c r="E46" s="38">
        <v>199</v>
      </c>
      <c r="F46" s="38">
        <v>199</v>
      </c>
      <c r="G46" s="39">
        <f t="shared" si="1"/>
        <v>0.5</v>
      </c>
    </row>
    <row r="47" spans="1:7" ht="15" customHeight="1" x14ac:dyDescent="0.25">
      <c r="A47" s="38">
        <v>2026</v>
      </c>
      <c r="B47" s="38" t="s">
        <v>314</v>
      </c>
      <c r="C47" s="38" t="s">
        <v>317</v>
      </c>
      <c r="D47" s="38">
        <v>127</v>
      </c>
      <c r="E47" s="38">
        <v>61</v>
      </c>
      <c r="F47" s="38">
        <v>66</v>
      </c>
      <c r="G47" s="39">
        <f t="shared" si="1"/>
        <v>0.48031496062992124</v>
      </c>
    </row>
    <row r="48" spans="1:7" ht="15" customHeight="1" x14ac:dyDescent="0.25">
      <c r="A48" s="38">
        <v>2026</v>
      </c>
      <c r="B48" s="38" t="s">
        <v>314</v>
      </c>
      <c r="C48" s="38" t="s">
        <v>316</v>
      </c>
      <c r="D48" s="38">
        <v>164</v>
      </c>
      <c r="E48" s="38">
        <v>36</v>
      </c>
      <c r="F48" s="38">
        <v>128</v>
      </c>
      <c r="G48" s="39">
        <f t="shared" si="1"/>
        <v>0.21951219512195122</v>
      </c>
    </row>
    <row r="49" spans="1:7" ht="15" customHeight="1" x14ac:dyDescent="0.25">
      <c r="A49" s="38">
        <v>2026</v>
      </c>
      <c r="B49" s="38" t="s">
        <v>314</v>
      </c>
      <c r="C49" s="38" t="s">
        <v>318</v>
      </c>
      <c r="D49" s="38">
        <v>12</v>
      </c>
      <c r="E49" s="38">
        <v>1</v>
      </c>
      <c r="F49" s="38">
        <v>11</v>
      </c>
      <c r="G49" s="39">
        <f t="shared" si="1"/>
        <v>8.3333333333333329E-2</v>
      </c>
    </row>
    <row r="50" spans="1:7" ht="15" customHeight="1" x14ac:dyDescent="0.25">
      <c r="A50" s="38">
        <v>2026</v>
      </c>
      <c r="B50" s="38" t="s">
        <v>314</v>
      </c>
      <c r="C50" s="38" t="s">
        <v>311</v>
      </c>
      <c r="D50" s="38">
        <v>28198</v>
      </c>
      <c r="E50" s="38">
        <v>15508</v>
      </c>
      <c r="F50" s="38">
        <v>12690</v>
      </c>
      <c r="G50" s="39">
        <f t="shared" si="1"/>
        <v>0.54996808284275478</v>
      </c>
    </row>
    <row r="51" spans="1:7" ht="15" customHeight="1" x14ac:dyDescent="0.25">
      <c r="A51" s="38">
        <v>2026</v>
      </c>
      <c r="B51" s="38" t="s">
        <v>246</v>
      </c>
      <c r="C51" s="38" t="s">
        <v>315</v>
      </c>
      <c r="D51" s="38">
        <v>168213</v>
      </c>
      <c r="E51" s="38">
        <v>91399</v>
      </c>
      <c r="F51" s="38">
        <v>76814</v>
      </c>
      <c r="G51" s="39">
        <f t="shared" si="1"/>
        <v>0.5433527729723624</v>
      </c>
    </row>
  </sheetData>
  <autoFilter ref="A1:G51" xr:uid="{00000000-0009-0000-0000-00000E000000}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6" customWidth="1"/>
    <col min="3" max="3" width="24" customWidth="1"/>
    <col min="4" max="4" width="12" customWidth="1"/>
    <col min="6" max="6" width="14" customWidth="1"/>
    <col min="7" max="7" width="12" customWidth="1"/>
  </cols>
  <sheetData>
    <row r="1" spans="1:7" ht="26.25" customHeight="1" x14ac:dyDescent="0.25">
      <c r="A1" s="35" t="s">
        <v>121</v>
      </c>
      <c r="B1" s="35" t="s">
        <v>247</v>
      </c>
      <c r="C1" s="35" t="s">
        <v>130</v>
      </c>
      <c r="D1" s="35" t="s">
        <v>122</v>
      </c>
      <c r="E1" s="35" t="s">
        <v>306</v>
      </c>
      <c r="F1" s="35" t="s">
        <v>307</v>
      </c>
      <c r="G1" s="35" t="s">
        <v>132</v>
      </c>
    </row>
    <row r="2" spans="1:7" ht="15" customHeight="1" x14ac:dyDescent="0.25">
      <c r="A2" s="36">
        <v>2025</v>
      </c>
      <c r="B2" s="36" t="s">
        <v>312</v>
      </c>
      <c r="C2" s="36" t="s">
        <v>198</v>
      </c>
      <c r="D2" s="36">
        <v>12734</v>
      </c>
      <c r="E2" s="36">
        <v>4315</v>
      </c>
      <c r="F2" s="36">
        <v>8419</v>
      </c>
      <c r="G2" s="37">
        <f t="shared" ref="G2:G33" si="0">IF(D2=0,0,E2/D2)</f>
        <v>0.33885660436626353</v>
      </c>
    </row>
    <row r="3" spans="1:7" ht="15" customHeight="1" x14ac:dyDescent="0.25">
      <c r="A3" s="36">
        <v>2025</v>
      </c>
      <c r="B3" s="36" t="s">
        <v>312</v>
      </c>
      <c r="C3" s="36" t="s">
        <v>309</v>
      </c>
      <c r="D3" s="36">
        <v>8035</v>
      </c>
      <c r="E3" s="36">
        <v>2980</v>
      </c>
      <c r="F3" s="36">
        <v>5055</v>
      </c>
      <c r="G3" s="37">
        <f t="shared" si="0"/>
        <v>0.37087741132545116</v>
      </c>
    </row>
    <row r="4" spans="1:7" ht="15" customHeight="1" x14ac:dyDescent="0.25">
      <c r="A4" s="36">
        <v>2025</v>
      </c>
      <c r="B4" s="36" t="s">
        <v>312</v>
      </c>
      <c r="C4" s="36" t="s">
        <v>319</v>
      </c>
      <c r="D4" s="36">
        <v>5</v>
      </c>
      <c r="E4" s="36">
        <v>3</v>
      </c>
      <c r="F4" s="36">
        <v>2</v>
      </c>
      <c r="G4" s="37">
        <f t="shared" si="0"/>
        <v>0.6</v>
      </c>
    </row>
    <row r="5" spans="1:7" ht="15" customHeight="1" x14ac:dyDescent="0.25">
      <c r="A5" s="36">
        <v>2025</v>
      </c>
      <c r="B5" s="36" t="s">
        <v>312</v>
      </c>
      <c r="C5" s="36" t="s">
        <v>310</v>
      </c>
      <c r="D5" s="36">
        <v>1</v>
      </c>
      <c r="E5" s="36">
        <v>1</v>
      </c>
      <c r="F5" s="36">
        <v>0</v>
      </c>
      <c r="G5" s="37">
        <f t="shared" si="0"/>
        <v>1</v>
      </c>
    </row>
    <row r="6" spans="1:7" ht="15" customHeight="1" x14ac:dyDescent="0.25">
      <c r="A6" s="36">
        <v>2025</v>
      </c>
      <c r="B6" s="36" t="s">
        <v>312</v>
      </c>
      <c r="C6" s="36" t="s">
        <v>311</v>
      </c>
      <c r="D6" s="36">
        <v>20775</v>
      </c>
      <c r="E6" s="36">
        <v>7299</v>
      </c>
      <c r="F6" s="36">
        <v>13476</v>
      </c>
      <c r="G6" s="37">
        <f t="shared" si="0"/>
        <v>0.35133574007220214</v>
      </c>
    </row>
    <row r="7" spans="1:7" ht="15" customHeight="1" x14ac:dyDescent="0.25">
      <c r="A7" s="36">
        <v>2025</v>
      </c>
      <c r="B7" s="36" t="s">
        <v>313</v>
      </c>
      <c r="C7" s="36" t="s">
        <v>198</v>
      </c>
      <c r="D7" s="36">
        <v>3708</v>
      </c>
      <c r="E7" s="36">
        <v>1460</v>
      </c>
      <c r="F7" s="36">
        <v>2248</v>
      </c>
      <c r="G7" s="37">
        <f t="shared" si="0"/>
        <v>0.39374325782092773</v>
      </c>
    </row>
    <row r="8" spans="1:7" ht="15" customHeight="1" x14ac:dyDescent="0.25">
      <c r="A8" s="36">
        <v>2025</v>
      </c>
      <c r="B8" s="36" t="s">
        <v>313</v>
      </c>
      <c r="C8" s="36" t="s">
        <v>309</v>
      </c>
      <c r="D8" s="36">
        <v>305</v>
      </c>
      <c r="E8" s="36">
        <v>119</v>
      </c>
      <c r="F8" s="36">
        <v>186</v>
      </c>
      <c r="G8" s="37">
        <f t="shared" si="0"/>
        <v>0.39016393442622949</v>
      </c>
    </row>
    <row r="9" spans="1:7" ht="15" customHeight="1" x14ac:dyDescent="0.25">
      <c r="A9" s="36">
        <v>2025</v>
      </c>
      <c r="B9" s="36" t="s">
        <v>313</v>
      </c>
      <c r="C9" s="36" t="s">
        <v>319</v>
      </c>
      <c r="D9" s="36">
        <v>1</v>
      </c>
      <c r="E9" s="36">
        <v>0</v>
      </c>
      <c r="F9" s="36">
        <v>1</v>
      </c>
      <c r="G9" s="37">
        <f t="shared" si="0"/>
        <v>0</v>
      </c>
    </row>
    <row r="10" spans="1:7" ht="15" customHeight="1" x14ac:dyDescent="0.25">
      <c r="A10" s="36">
        <v>2025</v>
      </c>
      <c r="B10" s="36" t="s">
        <v>313</v>
      </c>
      <c r="C10" s="36" t="s">
        <v>310</v>
      </c>
      <c r="D10" s="36">
        <v>7</v>
      </c>
      <c r="E10" s="36">
        <v>7</v>
      </c>
      <c r="F10" s="36">
        <v>0</v>
      </c>
      <c r="G10" s="37">
        <f t="shared" si="0"/>
        <v>1</v>
      </c>
    </row>
    <row r="11" spans="1:7" ht="15" customHeight="1" x14ac:dyDescent="0.25">
      <c r="A11" s="36">
        <v>2025</v>
      </c>
      <c r="B11" s="36" t="s">
        <v>313</v>
      </c>
      <c r="C11" s="36" t="s">
        <v>311</v>
      </c>
      <c r="D11" s="36">
        <v>4021</v>
      </c>
      <c r="E11" s="36">
        <v>1586</v>
      </c>
      <c r="F11" s="36">
        <v>2435</v>
      </c>
      <c r="G11" s="37">
        <f t="shared" si="0"/>
        <v>0.39442924645610544</v>
      </c>
    </row>
    <row r="12" spans="1:7" ht="15" customHeight="1" x14ac:dyDescent="0.25">
      <c r="A12" s="36">
        <v>2025</v>
      </c>
      <c r="B12" s="36" t="s">
        <v>314</v>
      </c>
      <c r="C12" s="36" t="s">
        <v>198</v>
      </c>
      <c r="D12" s="36">
        <v>2266</v>
      </c>
      <c r="E12" s="36">
        <v>586</v>
      </c>
      <c r="F12" s="36">
        <v>1680</v>
      </c>
      <c r="G12" s="37">
        <f t="shared" si="0"/>
        <v>0.25860547219770519</v>
      </c>
    </row>
    <row r="13" spans="1:7" ht="15" customHeight="1" x14ac:dyDescent="0.25">
      <c r="A13" s="36">
        <v>2025</v>
      </c>
      <c r="B13" s="36" t="s">
        <v>314</v>
      </c>
      <c r="C13" s="36" t="s">
        <v>309</v>
      </c>
      <c r="D13" s="36">
        <v>904</v>
      </c>
      <c r="E13" s="36">
        <v>326</v>
      </c>
      <c r="F13" s="36">
        <v>578</v>
      </c>
      <c r="G13" s="37">
        <f t="shared" si="0"/>
        <v>0.36061946902654868</v>
      </c>
    </row>
    <row r="14" spans="1:7" ht="15" customHeight="1" x14ac:dyDescent="0.25">
      <c r="A14" s="36">
        <v>2025</v>
      </c>
      <c r="B14" s="36" t="s">
        <v>314</v>
      </c>
      <c r="C14" s="36" t="s">
        <v>319</v>
      </c>
      <c r="D14" s="36">
        <v>3</v>
      </c>
      <c r="E14" s="36">
        <v>1</v>
      </c>
      <c r="F14" s="36">
        <v>2</v>
      </c>
      <c r="G14" s="37">
        <f t="shared" si="0"/>
        <v>0.33333333333333331</v>
      </c>
    </row>
    <row r="15" spans="1:7" ht="15" customHeight="1" x14ac:dyDescent="0.25">
      <c r="A15" s="36">
        <v>2025</v>
      </c>
      <c r="B15" s="36" t="s">
        <v>314</v>
      </c>
      <c r="C15" s="36" t="s">
        <v>311</v>
      </c>
      <c r="D15" s="36">
        <v>3173</v>
      </c>
      <c r="E15" s="36">
        <v>913</v>
      </c>
      <c r="F15" s="36">
        <v>2260</v>
      </c>
      <c r="G15" s="37">
        <f t="shared" si="0"/>
        <v>0.28774030885597229</v>
      </c>
    </row>
    <row r="16" spans="1:7" ht="15" customHeight="1" x14ac:dyDescent="0.25">
      <c r="A16" s="36">
        <v>2025</v>
      </c>
      <c r="B16" s="36" t="s">
        <v>308</v>
      </c>
      <c r="C16" s="36" t="s">
        <v>198</v>
      </c>
      <c r="D16" s="36">
        <v>2473</v>
      </c>
      <c r="E16" s="36">
        <v>978</v>
      </c>
      <c r="F16" s="36">
        <v>1495</v>
      </c>
      <c r="G16" s="37">
        <f t="shared" si="0"/>
        <v>0.39547108774767487</v>
      </c>
    </row>
    <row r="17" spans="1:7" ht="15" customHeight="1" x14ac:dyDescent="0.25">
      <c r="A17" s="36">
        <v>2025</v>
      </c>
      <c r="B17" s="36" t="s">
        <v>308</v>
      </c>
      <c r="C17" s="36" t="s">
        <v>309</v>
      </c>
      <c r="D17" s="36">
        <v>531</v>
      </c>
      <c r="E17" s="36">
        <v>225</v>
      </c>
      <c r="F17" s="36">
        <v>306</v>
      </c>
      <c r="G17" s="37">
        <f t="shared" si="0"/>
        <v>0.42372881355932202</v>
      </c>
    </row>
    <row r="18" spans="1:7" ht="15" customHeight="1" x14ac:dyDescent="0.25">
      <c r="A18" s="36">
        <v>2025</v>
      </c>
      <c r="B18" s="36" t="s">
        <v>308</v>
      </c>
      <c r="C18" s="36" t="s">
        <v>310</v>
      </c>
      <c r="D18" s="36">
        <v>3</v>
      </c>
      <c r="E18" s="36">
        <v>2</v>
      </c>
      <c r="F18" s="36">
        <v>1</v>
      </c>
      <c r="G18" s="37">
        <f t="shared" si="0"/>
        <v>0.66666666666666663</v>
      </c>
    </row>
    <row r="19" spans="1:7" ht="15" customHeight="1" x14ac:dyDescent="0.25">
      <c r="A19" s="36">
        <v>2025</v>
      </c>
      <c r="B19" s="36" t="s">
        <v>308</v>
      </c>
      <c r="C19" s="36" t="s">
        <v>311</v>
      </c>
      <c r="D19" s="36">
        <v>3007</v>
      </c>
      <c r="E19" s="36">
        <v>1205</v>
      </c>
      <c r="F19" s="36">
        <v>1802</v>
      </c>
      <c r="G19" s="37">
        <f t="shared" si="0"/>
        <v>0.40073162620552044</v>
      </c>
    </row>
    <row r="20" spans="1:7" ht="15" customHeight="1" x14ac:dyDescent="0.25">
      <c r="A20" s="36">
        <v>2025</v>
      </c>
      <c r="B20" s="36" t="s">
        <v>246</v>
      </c>
      <c r="C20" s="36" t="s">
        <v>320</v>
      </c>
      <c r="D20" s="36">
        <v>30976</v>
      </c>
      <c r="E20" s="36">
        <v>11003</v>
      </c>
      <c r="F20" s="36">
        <v>19973</v>
      </c>
      <c r="G20" s="37">
        <f t="shared" si="0"/>
        <v>0.35521048553719009</v>
      </c>
    </row>
    <row r="21" spans="1:7" ht="15" customHeight="1" x14ac:dyDescent="0.25">
      <c r="A21" s="38">
        <v>2026</v>
      </c>
      <c r="B21" s="38" t="s">
        <v>312</v>
      </c>
      <c r="C21" s="38" t="s">
        <v>198</v>
      </c>
      <c r="D21" s="38">
        <v>11023</v>
      </c>
      <c r="E21" s="38">
        <v>4247</v>
      </c>
      <c r="F21" s="38">
        <v>6776</v>
      </c>
      <c r="G21" s="39">
        <f t="shared" si="0"/>
        <v>0.3852853125283498</v>
      </c>
    </row>
    <row r="22" spans="1:7" ht="15" customHeight="1" x14ac:dyDescent="0.25">
      <c r="A22" s="38">
        <v>2026</v>
      </c>
      <c r="B22" s="38" t="s">
        <v>312</v>
      </c>
      <c r="C22" s="38" t="s">
        <v>309</v>
      </c>
      <c r="D22" s="38">
        <v>7450</v>
      </c>
      <c r="E22" s="38">
        <v>1637</v>
      </c>
      <c r="F22" s="38">
        <v>5813</v>
      </c>
      <c r="G22" s="39">
        <f t="shared" si="0"/>
        <v>0.21973154362416109</v>
      </c>
    </row>
    <row r="23" spans="1:7" ht="15" customHeight="1" x14ac:dyDescent="0.25">
      <c r="A23" s="38">
        <v>2026</v>
      </c>
      <c r="B23" s="38" t="s">
        <v>312</v>
      </c>
      <c r="C23" s="38" t="s">
        <v>319</v>
      </c>
      <c r="D23" s="38">
        <v>4</v>
      </c>
      <c r="E23" s="38">
        <v>1</v>
      </c>
      <c r="F23" s="38">
        <v>3</v>
      </c>
      <c r="G23" s="39">
        <f t="shared" si="0"/>
        <v>0.25</v>
      </c>
    </row>
    <row r="24" spans="1:7" ht="15" customHeight="1" x14ac:dyDescent="0.25">
      <c r="A24" s="38">
        <v>2026</v>
      </c>
      <c r="B24" s="38" t="s">
        <v>312</v>
      </c>
      <c r="C24" s="38" t="s">
        <v>310</v>
      </c>
      <c r="D24" s="38">
        <v>18</v>
      </c>
      <c r="E24" s="38">
        <v>18</v>
      </c>
      <c r="F24" s="38">
        <v>0</v>
      </c>
      <c r="G24" s="39">
        <f t="shared" si="0"/>
        <v>1</v>
      </c>
    </row>
    <row r="25" spans="1:7" ht="15" customHeight="1" x14ac:dyDescent="0.25">
      <c r="A25" s="38">
        <v>2026</v>
      </c>
      <c r="B25" s="38" t="s">
        <v>312</v>
      </c>
      <c r="C25" s="38" t="s">
        <v>157</v>
      </c>
      <c r="D25" s="38">
        <v>62</v>
      </c>
      <c r="E25" s="38">
        <v>2</v>
      </c>
      <c r="F25" s="38">
        <v>60</v>
      </c>
      <c r="G25" s="39">
        <f t="shared" si="0"/>
        <v>3.2258064516129031E-2</v>
      </c>
    </row>
    <row r="26" spans="1:7" ht="15" customHeight="1" x14ac:dyDescent="0.25">
      <c r="A26" s="38">
        <v>2026</v>
      </c>
      <c r="B26" s="38" t="s">
        <v>312</v>
      </c>
      <c r="C26" s="38" t="s">
        <v>317</v>
      </c>
      <c r="D26" s="38">
        <v>4</v>
      </c>
      <c r="E26" s="38">
        <v>0</v>
      </c>
      <c r="F26" s="38">
        <v>4</v>
      </c>
      <c r="G26" s="39">
        <f t="shared" si="0"/>
        <v>0</v>
      </c>
    </row>
    <row r="27" spans="1:7" ht="15" customHeight="1" x14ac:dyDescent="0.25">
      <c r="A27" s="38">
        <v>2026</v>
      </c>
      <c r="B27" s="38" t="s">
        <v>312</v>
      </c>
      <c r="C27" s="38" t="s">
        <v>316</v>
      </c>
      <c r="D27" s="38">
        <v>15</v>
      </c>
      <c r="E27" s="38">
        <v>3</v>
      </c>
      <c r="F27" s="38">
        <v>12</v>
      </c>
      <c r="G27" s="39">
        <f t="shared" si="0"/>
        <v>0.2</v>
      </c>
    </row>
    <row r="28" spans="1:7" ht="15" customHeight="1" x14ac:dyDescent="0.25">
      <c r="A28" s="38">
        <v>2026</v>
      </c>
      <c r="B28" s="38" t="s">
        <v>312</v>
      </c>
      <c r="C28" s="38" t="s">
        <v>318</v>
      </c>
      <c r="D28" s="38">
        <v>1</v>
      </c>
      <c r="E28" s="38">
        <v>0</v>
      </c>
      <c r="F28" s="38">
        <v>1</v>
      </c>
      <c r="G28" s="39">
        <f t="shared" si="0"/>
        <v>0</v>
      </c>
    </row>
    <row r="29" spans="1:7" ht="15" customHeight="1" x14ac:dyDescent="0.25">
      <c r="A29" s="38">
        <v>2026</v>
      </c>
      <c r="B29" s="38" t="s">
        <v>312</v>
      </c>
      <c r="C29" s="38" t="s">
        <v>311</v>
      </c>
      <c r="D29" s="38">
        <v>18577</v>
      </c>
      <c r="E29" s="38">
        <v>5908</v>
      </c>
      <c r="F29" s="38">
        <v>12669</v>
      </c>
      <c r="G29" s="39">
        <f t="shared" si="0"/>
        <v>0.31802766862249016</v>
      </c>
    </row>
    <row r="30" spans="1:7" ht="15" customHeight="1" x14ac:dyDescent="0.25">
      <c r="A30" s="38">
        <v>2026</v>
      </c>
      <c r="B30" s="38" t="s">
        <v>313</v>
      </c>
      <c r="C30" s="38" t="s">
        <v>198</v>
      </c>
      <c r="D30" s="38">
        <v>3409</v>
      </c>
      <c r="E30" s="38">
        <v>1564</v>
      </c>
      <c r="F30" s="38">
        <v>1845</v>
      </c>
      <c r="G30" s="39">
        <f t="shared" si="0"/>
        <v>0.45878556761513639</v>
      </c>
    </row>
    <row r="31" spans="1:7" ht="15" customHeight="1" x14ac:dyDescent="0.25">
      <c r="A31" s="38">
        <v>2026</v>
      </c>
      <c r="B31" s="38" t="s">
        <v>313</v>
      </c>
      <c r="C31" s="38" t="s">
        <v>309</v>
      </c>
      <c r="D31" s="38">
        <v>309</v>
      </c>
      <c r="E31" s="38">
        <v>96</v>
      </c>
      <c r="F31" s="38">
        <v>213</v>
      </c>
      <c r="G31" s="39">
        <f t="shared" si="0"/>
        <v>0.31067961165048541</v>
      </c>
    </row>
    <row r="32" spans="1:7" ht="15" customHeight="1" x14ac:dyDescent="0.25">
      <c r="A32" s="38">
        <v>2026</v>
      </c>
      <c r="B32" s="38" t="s">
        <v>313</v>
      </c>
      <c r="C32" s="38" t="s">
        <v>319</v>
      </c>
      <c r="D32" s="38">
        <v>5</v>
      </c>
      <c r="E32" s="38">
        <v>4</v>
      </c>
      <c r="F32" s="38">
        <v>1</v>
      </c>
      <c r="G32" s="39">
        <f t="shared" si="0"/>
        <v>0.8</v>
      </c>
    </row>
    <row r="33" spans="1:7" ht="15" customHeight="1" x14ac:dyDescent="0.25">
      <c r="A33" s="38">
        <v>2026</v>
      </c>
      <c r="B33" s="38" t="s">
        <v>313</v>
      </c>
      <c r="C33" s="38" t="s">
        <v>157</v>
      </c>
      <c r="D33" s="38">
        <v>42</v>
      </c>
      <c r="E33" s="38">
        <v>13</v>
      </c>
      <c r="F33" s="38">
        <v>29</v>
      </c>
      <c r="G33" s="39">
        <f t="shared" si="0"/>
        <v>0.30952380952380953</v>
      </c>
    </row>
    <row r="34" spans="1:7" ht="15" customHeight="1" x14ac:dyDescent="0.25">
      <c r="A34" s="38">
        <v>2026</v>
      </c>
      <c r="B34" s="38" t="s">
        <v>313</v>
      </c>
      <c r="C34" s="38" t="s">
        <v>317</v>
      </c>
      <c r="D34" s="38">
        <v>3</v>
      </c>
      <c r="E34" s="38">
        <v>1</v>
      </c>
      <c r="F34" s="38">
        <v>2</v>
      </c>
      <c r="G34" s="39">
        <f t="shared" ref="G34:G53" si="1">IF(D34=0,0,E34/D34)</f>
        <v>0.33333333333333331</v>
      </c>
    </row>
    <row r="35" spans="1:7" ht="15" customHeight="1" x14ac:dyDescent="0.25">
      <c r="A35" s="38">
        <v>2026</v>
      </c>
      <c r="B35" s="38" t="s">
        <v>313</v>
      </c>
      <c r="C35" s="38" t="s">
        <v>310</v>
      </c>
      <c r="D35" s="38">
        <v>0</v>
      </c>
      <c r="E35" s="38">
        <v>0</v>
      </c>
      <c r="F35" s="38">
        <v>0</v>
      </c>
      <c r="G35" s="39">
        <f t="shared" si="1"/>
        <v>0</v>
      </c>
    </row>
    <row r="36" spans="1:7" ht="15" customHeight="1" x14ac:dyDescent="0.25">
      <c r="A36" s="38">
        <v>2026</v>
      </c>
      <c r="B36" s="38" t="s">
        <v>313</v>
      </c>
      <c r="C36" s="38" t="s">
        <v>316</v>
      </c>
      <c r="D36" s="38">
        <v>1</v>
      </c>
      <c r="E36" s="38">
        <v>1</v>
      </c>
      <c r="F36" s="38">
        <v>0</v>
      </c>
      <c r="G36" s="39">
        <f t="shared" si="1"/>
        <v>1</v>
      </c>
    </row>
    <row r="37" spans="1:7" ht="15" customHeight="1" x14ac:dyDescent="0.25">
      <c r="A37" s="38">
        <v>2026</v>
      </c>
      <c r="B37" s="38" t="s">
        <v>313</v>
      </c>
      <c r="C37" s="38" t="s">
        <v>311</v>
      </c>
      <c r="D37" s="38">
        <v>3769</v>
      </c>
      <c r="E37" s="38">
        <v>1679</v>
      </c>
      <c r="F37" s="38">
        <v>2090</v>
      </c>
      <c r="G37" s="39">
        <f t="shared" si="1"/>
        <v>0.44547625364818255</v>
      </c>
    </row>
    <row r="38" spans="1:7" ht="15" customHeight="1" x14ac:dyDescent="0.25">
      <c r="A38" s="38">
        <v>2026</v>
      </c>
      <c r="B38" s="38" t="s">
        <v>314</v>
      </c>
      <c r="C38" s="38" t="s">
        <v>198</v>
      </c>
      <c r="D38" s="38">
        <v>2189</v>
      </c>
      <c r="E38" s="38">
        <v>730</v>
      </c>
      <c r="F38" s="38">
        <v>1459</v>
      </c>
      <c r="G38" s="39">
        <f t="shared" si="1"/>
        <v>0.33348560986751941</v>
      </c>
    </row>
    <row r="39" spans="1:7" ht="15" customHeight="1" x14ac:dyDescent="0.25">
      <c r="A39" s="38">
        <v>2026</v>
      </c>
      <c r="B39" s="38" t="s">
        <v>314</v>
      </c>
      <c r="C39" s="38" t="s">
        <v>309</v>
      </c>
      <c r="D39" s="38">
        <v>870</v>
      </c>
      <c r="E39" s="38">
        <v>199</v>
      </c>
      <c r="F39" s="38">
        <v>671</v>
      </c>
      <c r="G39" s="39">
        <f t="shared" si="1"/>
        <v>0.22873563218390805</v>
      </c>
    </row>
    <row r="40" spans="1:7" ht="15" customHeight="1" x14ac:dyDescent="0.25">
      <c r="A40" s="38">
        <v>2026</v>
      </c>
      <c r="B40" s="38" t="s">
        <v>314</v>
      </c>
      <c r="C40" s="38" t="s">
        <v>319</v>
      </c>
      <c r="D40" s="38">
        <v>3</v>
      </c>
      <c r="E40" s="38">
        <v>0</v>
      </c>
      <c r="F40" s="38">
        <v>3</v>
      </c>
      <c r="G40" s="39">
        <f t="shared" si="1"/>
        <v>0</v>
      </c>
    </row>
    <row r="41" spans="1:7" ht="15" customHeight="1" x14ac:dyDescent="0.25">
      <c r="A41" s="38">
        <v>2026</v>
      </c>
      <c r="B41" s="38" t="s">
        <v>314</v>
      </c>
      <c r="C41" s="38" t="s">
        <v>310</v>
      </c>
      <c r="D41" s="38">
        <v>7</v>
      </c>
      <c r="E41" s="38">
        <v>7</v>
      </c>
      <c r="F41" s="38">
        <v>0</v>
      </c>
      <c r="G41" s="39">
        <f t="shared" si="1"/>
        <v>1</v>
      </c>
    </row>
    <row r="42" spans="1:7" ht="15" customHeight="1" x14ac:dyDescent="0.25">
      <c r="A42" s="38">
        <v>2026</v>
      </c>
      <c r="B42" s="38" t="s">
        <v>314</v>
      </c>
      <c r="C42" s="38" t="s">
        <v>157</v>
      </c>
      <c r="D42" s="38">
        <v>12</v>
      </c>
      <c r="E42" s="38">
        <v>2</v>
      </c>
      <c r="F42" s="38">
        <v>10</v>
      </c>
      <c r="G42" s="39">
        <f t="shared" si="1"/>
        <v>0.16666666666666666</v>
      </c>
    </row>
    <row r="43" spans="1:7" ht="15" customHeight="1" x14ac:dyDescent="0.25">
      <c r="A43" s="38">
        <v>2026</v>
      </c>
      <c r="B43" s="38" t="s">
        <v>314</v>
      </c>
      <c r="C43" s="38" t="s">
        <v>317</v>
      </c>
      <c r="D43" s="38">
        <v>3</v>
      </c>
      <c r="E43" s="38">
        <v>2</v>
      </c>
      <c r="F43" s="38">
        <v>1</v>
      </c>
      <c r="G43" s="39">
        <f t="shared" si="1"/>
        <v>0.66666666666666663</v>
      </c>
    </row>
    <row r="44" spans="1:7" ht="15" customHeight="1" x14ac:dyDescent="0.25">
      <c r="A44" s="38">
        <v>2026</v>
      </c>
      <c r="B44" s="38" t="s">
        <v>314</v>
      </c>
      <c r="C44" s="38" t="s">
        <v>316</v>
      </c>
      <c r="D44" s="38">
        <v>10</v>
      </c>
      <c r="E44" s="38">
        <v>4</v>
      </c>
      <c r="F44" s="38">
        <v>6</v>
      </c>
      <c r="G44" s="39">
        <f t="shared" si="1"/>
        <v>0.4</v>
      </c>
    </row>
    <row r="45" spans="1:7" ht="15" customHeight="1" x14ac:dyDescent="0.25">
      <c r="A45" s="38">
        <v>2026</v>
      </c>
      <c r="B45" s="38" t="s">
        <v>314</v>
      </c>
      <c r="C45" s="38" t="s">
        <v>311</v>
      </c>
      <c r="D45" s="38">
        <v>3094</v>
      </c>
      <c r="E45" s="38">
        <v>944</v>
      </c>
      <c r="F45" s="38">
        <v>2150</v>
      </c>
      <c r="G45" s="39">
        <f t="shared" si="1"/>
        <v>0.30510665804783454</v>
      </c>
    </row>
    <row r="46" spans="1:7" ht="15" customHeight="1" x14ac:dyDescent="0.25">
      <c r="A46" s="38">
        <v>2026</v>
      </c>
      <c r="B46" s="38" t="s">
        <v>308</v>
      </c>
      <c r="C46" s="38" t="s">
        <v>198</v>
      </c>
      <c r="D46" s="38">
        <v>2284</v>
      </c>
      <c r="E46" s="38">
        <v>663</v>
      </c>
      <c r="F46" s="38">
        <v>1621</v>
      </c>
      <c r="G46" s="39">
        <f t="shared" si="1"/>
        <v>0.29028021015761823</v>
      </c>
    </row>
    <row r="47" spans="1:7" ht="15" customHeight="1" x14ac:dyDescent="0.25">
      <c r="A47" s="38">
        <v>2026</v>
      </c>
      <c r="B47" s="38" t="s">
        <v>308</v>
      </c>
      <c r="C47" s="38" t="s">
        <v>309</v>
      </c>
      <c r="D47" s="38">
        <v>674</v>
      </c>
      <c r="E47" s="38">
        <v>112</v>
      </c>
      <c r="F47" s="38">
        <v>562</v>
      </c>
      <c r="G47" s="39">
        <f t="shared" si="1"/>
        <v>0.16617210682492581</v>
      </c>
    </row>
    <row r="48" spans="1:7" ht="15" customHeight="1" x14ac:dyDescent="0.25">
      <c r="A48" s="38">
        <v>2026</v>
      </c>
      <c r="B48" s="38" t="s">
        <v>308</v>
      </c>
      <c r="C48" s="38" t="s">
        <v>319</v>
      </c>
      <c r="D48" s="38">
        <v>1</v>
      </c>
      <c r="E48" s="38">
        <v>0</v>
      </c>
      <c r="F48" s="38">
        <v>1</v>
      </c>
      <c r="G48" s="39">
        <f t="shared" si="1"/>
        <v>0</v>
      </c>
    </row>
    <row r="49" spans="1:7" ht="15" customHeight="1" x14ac:dyDescent="0.25">
      <c r="A49" s="38">
        <v>2026</v>
      </c>
      <c r="B49" s="38" t="s">
        <v>308</v>
      </c>
      <c r="C49" s="38" t="s">
        <v>157</v>
      </c>
      <c r="D49" s="38">
        <v>38</v>
      </c>
      <c r="E49" s="38">
        <v>3</v>
      </c>
      <c r="F49" s="38">
        <v>35</v>
      </c>
      <c r="G49" s="39">
        <f t="shared" si="1"/>
        <v>7.8947368421052627E-2</v>
      </c>
    </row>
    <row r="50" spans="1:7" ht="15" customHeight="1" x14ac:dyDescent="0.25">
      <c r="A50" s="38">
        <v>2026</v>
      </c>
      <c r="B50" s="38" t="s">
        <v>308</v>
      </c>
      <c r="C50" s="38" t="s">
        <v>317</v>
      </c>
      <c r="D50" s="38">
        <v>4</v>
      </c>
      <c r="E50" s="38">
        <v>0</v>
      </c>
      <c r="F50" s="38">
        <v>4</v>
      </c>
      <c r="G50" s="39">
        <f t="shared" si="1"/>
        <v>0</v>
      </c>
    </row>
    <row r="51" spans="1:7" ht="15" customHeight="1" x14ac:dyDescent="0.25">
      <c r="A51" s="38">
        <v>2026</v>
      </c>
      <c r="B51" s="38" t="s">
        <v>308</v>
      </c>
      <c r="C51" s="38" t="s">
        <v>318</v>
      </c>
      <c r="D51" s="38">
        <v>2</v>
      </c>
      <c r="E51" s="38">
        <v>0</v>
      </c>
      <c r="F51" s="38">
        <v>2</v>
      </c>
      <c r="G51" s="39">
        <f t="shared" si="1"/>
        <v>0</v>
      </c>
    </row>
    <row r="52" spans="1:7" ht="15" customHeight="1" x14ac:dyDescent="0.25">
      <c r="A52" s="38">
        <v>2026</v>
      </c>
      <c r="B52" s="38" t="s">
        <v>308</v>
      </c>
      <c r="C52" s="38" t="s">
        <v>311</v>
      </c>
      <c r="D52" s="38">
        <v>3003</v>
      </c>
      <c r="E52" s="38">
        <v>778</v>
      </c>
      <c r="F52" s="38">
        <v>2225</v>
      </c>
      <c r="G52" s="39">
        <f t="shared" si="1"/>
        <v>0.25907425907425907</v>
      </c>
    </row>
    <row r="53" spans="1:7" ht="15" customHeight="1" x14ac:dyDescent="0.25">
      <c r="A53" s="38">
        <v>2026</v>
      </c>
      <c r="B53" s="38" t="s">
        <v>246</v>
      </c>
      <c r="C53" s="38" t="s">
        <v>320</v>
      </c>
      <c r="D53" s="38">
        <v>28443</v>
      </c>
      <c r="E53" s="38">
        <v>9309</v>
      </c>
      <c r="F53" s="38">
        <v>19134</v>
      </c>
      <c r="G53" s="39">
        <f t="shared" si="1"/>
        <v>0.32728615124986815</v>
      </c>
    </row>
  </sheetData>
  <autoFilter ref="A1:G53" xr:uid="{00000000-0009-0000-0000-00000F000000}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2" customWidth="1"/>
    <col min="3" max="3" width="26" customWidth="1"/>
    <col min="4" max="4" width="12" customWidth="1"/>
    <col min="6" max="6" width="14" customWidth="1"/>
    <col min="7" max="7" width="12" customWidth="1"/>
  </cols>
  <sheetData>
    <row r="1" spans="1:7" ht="26.25" customHeight="1" x14ac:dyDescent="0.25">
      <c r="A1" s="35" t="s">
        <v>121</v>
      </c>
      <c r="B1" s="35" t="s">
        <v>131</v>
      </c>
      <c r="C1" s="35" t="s">
        <v>130</v>
      </c>
      <c r="D1" s="35" t="s">
        <v>122</v>
      </c>
      <c r="E1" s="35" t="s">
        <v>306</v>
      </c>
      <c r="F1" s="35" t="s">
        <v>307</v>
      </c>
      <c r="G1" s="35" t="s">
        <v>132</v>
      </c>
    </row>
    <row r="2" spans="1:7" ht="15" customHeight="1" x14ac:dyDescent="0.25">
      <c r="A2" s="36">
        <v>2025</v>
      </c>
      <c r="B2" s="36" t="s">
        <v>238</v>
      </c>
      <c r="C2" s="36" t="s">
        <v>198</v>
      </c>
      <c r="D2" s="36">
        <v>21181</v>
      </c>
      <c r="E2" s="36">
        <v>7339</v>
      </c>
      <c r="F2" s="36">
        <v>13842</v>
      </c>
      <c r="G2" s="37">
        <f t="shared" ref="G2:G27" si="0">IF(D2=0,0,E2/D2)</f>
        <v>0.34648977857513807</v>
      </c>
    </row>
    <row r="3" spans="1:7" ht="15" customHeight="1" x14ac:dyDescent="0.25">
      <c r="A3" s="36">
        <v>2025</v>
      </c>
      <c r="B3" s="36" t="s">
        <v>238</v>
      </c>
      <c r="C3" s="36" t="s">
        <v>309</v>
      </c>
      <c r="D3" s="36">
        <v>9775</v>
      </c>
      <c r="E3" s="36">
        <v>3650</v>
      </c>
      <c r="F3" s="36">
        <v>6125</v>
      </c>
      <c r="G3" s="37">
        <f t="shared" si="0"/>
        <v>0.37340153452685421</v>
      </c>
    </row>
    <row r="4" spans="1:7" ht="15" customHeight="1" x14ac:dyDescent="0.25">
      <c r="A4" s="36">
        <v>2025</v>
      </c>
      <c r="B4" s="36" t="s">
        <v>238</v>
      </c>
      <c r="C4" s="36" t="s">
        <v>319</v>
      </c>
      <c r="D4" s="36">
        <v>9</v>
      </c>
      <c r="E4" s="36">
        <v>4</v>
      </c>
      <c r="F4" s="36">
        <v>5</v>
      </c>
      <c r="G4" s="37">
        <f t="shared" si="0"/>
        <v>0.44444444444444442</v>
      </c>
    </row>
    <row r="5" spans="1:7" ht="15" customHeight="1" x14ac:dyDescent="0.25">
      <c r="A5" s="36">
        <v>2025</v>
      </c>
      <c r="B5" s="36" t="s">
        <v>238</v>
      </c>
      <c r="C5" s="36" t="s">
        <v>310</v>
      </c>
      <c r="D5" s="36">
        <v>11</v>
      </c>
      <c r="E5" s="36">
        <v>10</v>
      </c>
      <c r="F5" s="36">
        <v>1</v>
      </c>
      <c r="G5" s="37">
        <f t="shared" si="0"/>
        <v>0.90909090909090906</v>
      </c>
    </row>
    <row r="6" spans="1:7" ht="15" customHeight="1" x14ac:dyDescent="0.25">
      <c r="A6" s="36">
        <v>2025</v>
      </c>
      <c r="B6" s="36" t="s">
        <v>238</v>
      </c>
      <c r="C6" s="36" t="s">
        <v>321</v>
      </c>
      <c r="D6" s="36">
        <v>30976</v>
      </c>
      <c r="E6" s="36">
        <v>11003</v>
      </c>
      <c r="F6" s="36">
        <v>19973</v>
      </c>
      <c r="G6" s="37">
        <f t="shared" si="0"/>
        <v>0.35521048553719009</v>
      </c>
    </row>
    <row r="7" spans="1:7" ht="15" customHeight="1" x14ac:dyDescent="0.25">
      <c r="A7" s="36">
        <v>2025</v>
      </c>
      <c r="B7" s="36" t="s">
        <v>244</v>
      </c>
      <c r="C7" s="36" t="s">
        <v>198</v>
      </c>
      <c r="D7" s="36">
        <v>144056</v>
      </c>
      <c r="E7" s="36">
        <v>80783</v>
      </c>
      <c r="F7" s="36">
        <v>63273</v>
      </c>
      <c r="G7" s="37">
        <f t="shared" si="0"/>
        <v>0.56077497639806739</v>
      </c>
    </row>
    <row r="8" spans="1:7" ht="15" customHeight="1" x14ac:dyDescent="0.25">
      <c r="A8" s="36">
        <v>2025</v>
      </c>
      <c r="B8" s="36" t="s">
        <v>244</v>
      </c>
      <c r="C8" s="36" t="s">
        <v>309</v>
      </c>
      <c r="D8" s="36">
        <v>30016</v>
      </c>
      <c r="E8" s="36">
        <v>13853</v>
      </c>
      <c r="F8" s="36">
        <v>16163</v>
      </c>
      <c r="G8" s="37">
        <f t="shared" si="0"/>
        <v>0.46152052238805968</v>
      </c>
    </row>
    <row r="9" spans="1:7" ht="15" customHeight="1" x14ac:dyDescent="0.25">
      <c r="A9" s="36">
        <v>2025</v>
      </c>
      <c r="B9" s="36" t="s">
        <v>244</v>
      </c>
      <c r="C9" s="36" t="s">
        <v>310</v>
      </c>
      <c r="D9" s="36">
        <v>134</v>
      </c>
      <c r="E9" s="36">
        <v>130</v>
      </c>
      <c r="F9" s="36">
        <v>4</v>
      </c>
      <c r="G9" s="37">
        <f t="shared" si="0"/>
        <v>0.97014925373134331</v>
      </c>
    </row>
    <row r="10" spans="1:7" ht="15" customHeight="1" x14ac:dyDescent="0.25">
      <c r="A10" s="36">
        <v>2025</v>
      </c>
      <c r="B10" s="36" t="s">
        <v>244</v>
      </c>
      <c r="C10" s="36" t="s">
        <v>322</v>
      </c>
      <c r="D10" s="36">
        <v>174206</v>
      </c>
      <c r="E10" s="36">
        <v>94766</v>
      </c>
      <c r="F10" s="36">
        <v>79440</v>
      </c>
      <c r="G10" s="37">
        <f t="shared" si="0"/>
        <v>0.54398815195802674</v>
      </c>
    </row>
    <row r="11" spans="1:7" ht="15" customHeight="1" x14ac:dyDescent="0.25">
      <c r="A11" s="38">
        <v>2026</v>
      </c>
      <c r="B11" s="38" t="s">
        <v>238</v>
      </c>
      <c r="C11" s="38" t="s">
        <v>198</v>
      </c>
      <c r="D11" s="38">
        <v>18905</v>
      </c>
      <c r="E11" s="38">
        <v>7204</v>
      </c>
      <c r="F11" s="38">
        <v>11701</v>
      </c>
      <c r="G11" s="39">
        <f t="shared" si="0"/>
        <v>0.38106321079079608</v>
      </c>
    </row>
    <row r="12" spans="1:7" ht="15" customHeight="1" x14ac:dyDescent="0.25">
      <c r="A12" s="38">
        <v>2026</v>
      </c>
      <c r="B12" s="38" t="s">
        <v>238</v>
      </c>
      <c r="C12" s="38" t="s">
        <v>309</v>
      </c>
      <c r="D12" s="38">
        <v>9303</v>
      </c>
      <c r="E12" s="38">
        <v>2044</v>
      </c>
      <c r="F12" s="38">
        <v>7259</v>
      </c>
      <c r="G12" s="39">
        <f t="shared" si="0"/>
        <v>0.21971407072987209</v>
      </c>
    </row>
    <row r="13" spans="1:7" ht="15" customHeight="1" x14ac:dyDescent="0.25">
      <c r="A13" s="38">
        <v>2026</v>
      </c>
      <c r="B13" s="38" t="s">
        <v>238</v>
      </c>
      <c r="C13" s="38" t="s">
        <v>319</v>
      </c>
      <c r="D13" s="38">
        <v>13</v>
      </c>
      <c r="E13" s="38">
        <v>5</v>
      </c>
      <c r="F13" s="38">
        <v>8</v>
      </c>
      <c r="G13" s="39">
        <f t="shared" si="0"/>
        <v>0.38461538461538464</v>
      </c>
    </row>
    <row r="14" spans="1:7" ht="15" customHeight="1" x14ac:dyDescent="0.25">
      <c r="A14" s="38">
        <v>2026</v>
      </c>
      <c r="B14" s="38" t="s">
        <v>238</v>
      </c>
      <c r="C14" s="38" t="s">
        <v>310</v>
      </c>
      <c r="D14" s="38">
        <v>25</v>
      </c>
      <c r="E14" s="38">
        <v>25</v>
      </c>
      <c r="F14" s="38">
        <v>0</v>
      </c>
      <c r="G14" s="39">
        <f t="shared" si="0"/>
        <v>1</v>
      </c>
    </row>
    <row r="15" spans="1:7" ht="15" customHeight="1" x14ac:dyDescent="0.25">
      <c r="A15" s="38">
        <v>2026</v>
      </c>
      <c r="B15" s="38" t="s">
        <v>238</v>
      </c>
      <c r="C15" s="38" t="s">
        <v>157</v>
      </c>
      <c r="D15" s="38">
        <v>154</v>
      </c>
      <c r="E15" s="38">
        <v>20</v>
      </c>
      <c r="F15" s="38">
        <v>134</v>
      </c>
      <c r="G15" s="39">
        <f t="shared" si="0"/>
        <v>0.12987012987012986</v>
      </c>
    </row>
    <row r="16" spans="1:7" ht="15" customHeight="1" x14ac:dyDescent="0.25">
      <c r="A16" s="38">
        <v>2026</v>
      </c>
      <c r="B16" s="38" t="s">
        <v>238</v>
      </c>
      <c r="C16" s="38" t="s">
        <v>317</v>
      </c>
      <c r="D16" s="38">
        <v>14</v>
      </c>
      <c r="E16" s="38">
        <v>3</v>
      </c>
      <c r="F16" s="38">
        <v>11</v>
      </c>
      <c r="G16" s="39">
        <f t="shared" si="0"/>
        <v>0.21428571428571427</v>
      </c>
    </row>
    <row r="17" spans="1:7" ht="15" customHeight="1" x14ac:dyDescent="0.25">
      <c r="A17" s="38">
        <v>2026</v>
      </c>
      <c r="B17" s="38" t="s">
        <v>238</v>
      </c>
      <c r="C17" s="38" t="s">
        <v>316</v>
      </c>
      <c r="D17" s="38">
        <v>26</v>
      </c>
      <c r="E17" s="38">
        <v>8</v>
      </c>
      <c r="F17" s="38">
        <v>18</v>
      </c>
      <c r="G17" s="39">
        <f t="shared" si="0"/>
        <v>0.30769230769230771</v>
      </c>
    </row>
    <row r="18" spans="1:7" ht="15" customHeight="1" x14ac:dyDescent="0.25">
      <c r="A18" s="38">
        <v>2026</v>
      </c>
      <c r="B18" s="38" t="s">
        <v>238</v>
      </c>
      <c r="C18" s="38" t="s">
        <v>318</v>
      </c>
      <c r="D18" s="38">
        <v>3</v>
      </c>
      <c r="E18" s="38">
        <v>0</v>
      </c>
      <c r="F18" s="38">
        <v>3</v>
      </c>
      <c r="G18" s="39">
        <f t="shared" si="0"/>
        <v>0</v>
      </c>
    </row>
    <row r="19" spans="1:7" ht="15" customHeight="1" x14ac:dyDescent="0.25">
      <c r="A19" s="38">
        <v>2026</v>
      </c>
      <c r="B19" s="38" t="s">
        <v>238</v>
      </c>
      <c r="C19" s="38" t="s">
        <v>321</v>
      </c>
      <c r="D19" s="38">
        <v>28443</v>
      </c>
      <c r="E19" s="38">
        <v>9309</v>
      </c>
      <c r="F19" s="38">
        <v>19134</v>
      </c>
      <c r="G19" s="39">
        <f t="shared" si="0"/>
        <v>0.32728615124986815</v>
      </c>
    </row>
    <row r="20" spans="1:7" ht="15" customHeight="1" x14ac:dyDescent="0.25">
      <c r="A20" s="38">
        <v>2026</v>
      </c>
      <c r="B20" s="38" t="s">
        <v>244</v>
      </c>
      <c r="C20" s="38" t="s">
        <v>198</v>
      </c>
      <c r="D20" s="38">
        <v>131987</v>
      </c>
      <c r="E20" s="38">
        <v>79787</v>
      </c>
      <c r="F20" s="38">
        <v>52200</v>
      </c>
      <c r="G20" s="39">
        <f t="shared" si="0"/>
        <v>0.60450650442846643</v>
      </c>
    </row>
    <row r="21" spans="1:7" ht="15" customHeight="1" x14ac:dyDescent="0.25">
      <c r="A21" s="38">
        <v>2026</v>
      </c>
      <c r="B21" s="38" t="s">
        <v>244</v>
      </c>
      <c r="C21" s="38" t="s">
        <v>309</v>
      </c>
      <c r="D21" s="38">
        <v>30668</v>
      </c>
      <c r="E21" s="38">
        <v>9224</v>
      </c>
      <c r="F21" s="38">
        <v>21444</v>
      </c>
      <c r="G21" s="39">
        <f t="shared" si="0"/>
        <v>0.30076953175948873</v>
      </c>
    </row>
    <row r="22" spans="1:7" ht="15" customHeight="1" x14ac:dyDescent="0.25">
      <c r="A22" s="38">
        <v>2026</v>
      </c>
      <c r="B22" s="38" t="s">
        <v>244</v>
      </c>
      <c r="C22" s="38" t="s">
        <v>310</v>
      </c>
      <c r="D22" s="38">
        <v>117</v>
      </c>
      <c r="E22" s="38">
        <v>117</v>
      </c>
      <c r="F22" s="38">
        <v>0</v>
      </c>
      <c r="G22" s="39">
        <f t="shared" si="0"/>
        <v>1</v>
      </c>
    </row>
    <row r="23" spans="1:7" ht="15" customHeight="1" x14ac:dyDescent="0.25">
      <c r="A23" s="38">
        <v>2026</v>
      </c>
      <c r="B23" s="38" t="s">
        <v>244</v>
      </c>
      <c r="C23" s="38" t="s">
        <v>157</v>
      </c>
      <c r="D23" s="38">
        <v>3535</v>
      </c>
      <c r="E23" s="38">
        <v>1553</v>
      </c>
      <c r="F23" s="38">
        <v>1982</v>
      </c>
      <c r="G23" s="39">
        <f t="shared" si="0"/>
        <v>0.43932107496463935</v>
      </c>
    </row>
    <row r="24" spans="1:7" ht="15" customHeight="1" x14ac:dyDescent="0.25">
      <c r="A24" s="38">
        <v>2026</v>
      </c>
      <c r="B24" s="38" t="s">
        <v>244</v>
      </c>
      <c r="C24" s="38" t="s">
        <v>316</v>
      </c>
      <c r="D24" s="38">
        <v>779</v>
      </c>
      <c r="E24" s="38">
        <v>188</v>
      </c>
      <c r="F24" s="38">
        <v>591</v>
      </c>
      <c r="G24" s="39">
        <f t="shared" si="0"/>
        <v>0.24133504492939667</v>
      </c>
    </row>
    <row r="25" spans="1:7" ht="15" customHeight="1" x14ac:dyDescent="0.25">
      <c r="A25" s="38">
        <v>2026</v>
      </c>
      <c r="B25" s="38" t="s">
        <v>244</v>
      </c>
      <c r="C25" s="38" t="s">
        <v>317</v>
      </c>
      <c r="D25" s="38">
        <v>1087</v>
      </c>
      <c r="E25" s="38">
        <v>522</v>
      </c>
      <c r="F25" s="38">
        <v>565</v>
      </c>
      <c r="G25" s="39">
        <f t="shared" si="0"/>
        <v>0.48022079116835326</v>
      </c>
    </row>
    <row r="26" spans="1:7" ht="15" customHeight="1" x14ac:dyDescent="0.25">
      <c r="A26" s="38">
        <v>2026</v>
      </c>
      <c r="B26" s="38" t="s">
        <v>244</v>
      </c>
      <c r="C26" s="38" t="s">
        <v>318</v>
      </c>
      <c r="D26" s="38">
        <v>40</v>
      </c>
      <c r="E26" s="38">
        <v>8</v>
      </c>
      <c r="F26" s="38">
        <v>32</v>
      </c>
      <c r="G26" s="39">
        <f t="shared" si="0"/>
        <v>0.2</v>
      </c>
    </row>
    <row r="27" spans="1:7" ht="15" customHeight="1" x14ac:dyDescent="0.25">
      <c r="A27" s="38">
        <v>2026</v>
      </c>
      <c r="B27" s="38" t="s">
        <v>244</v>
      </c>
      <c r="C27" s="38" t="s">
        <v>322</v>
      </c>
      <c r="D27" s="38">
        <v>168213</v>
      </c>
      <c r="E27" s="38">
        <v>91399</v>
      </c>
      <c r="F27" s="38">
        <v>76814</v>
      </c>
      <c r="G27" s="39">
        <f t="shared" si="0"/>
        <v>0.5433527729723624</v>
      </c>
    </row>
  </sheetData>
  <autoFilter ref="A1:G27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1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46" customWidth="1"/>
    <col min="3" max="3" width="12" customWidth="1"/>
    <col min="4" max="4" width="10" customWidth="1"/>
    <col min="5" max="5" width="12" customWidth="1"/>
  </cols>
  <sheetData>
    <row r="1" spans="1:7" ht="15" customHeight="1" x14ac:dyDescent="0.25">
      <c r="A1" s="35" t="s">
        <v>121</v>
      </c>
      <c r="B1" s="35" t="s">
        <v>145</v>
      </c>
      <c r="C1" s="35" t="s">
        <v>323</v>
      </c>
      <c r="D1" s="35" t="s">
        <v>196</v>
      </c>
      <c r="E1" s="35" t="s">
        <v>122</v>
      </c>
      <c r="F1" s="35" t="s">
        <v>123</v>
      </c>
      <c r="G1" s="35" t="s">
        <v>132</v>
      </c>
    </row>
    <row r="2" spans="1:7" ht="15" customHeight="1" x14ac:dyDescent="0.25">
      <c r="A2" s="36">
        <v>2025</v>
      </c>
      <c r="B2" s="36" t="s">
        <v>318</v>
      </c>
      <c r="C2" s="36" t="s">
        <v>126</v>
      </c>
      <c r="D2" s="36" t="s">
        <v>126</v>
      </c>
      <c r="E2" s="36" t="s">
        <v>126</v>
      </c>
      <c r="F2" s="36" t="s">
        <v>126</v>
      </c>
      <c r="G2" s="36" t="s">
        <v>126</v>
      </c>
    </row>
    <row r="3" spans="1:7" ht="15" customHeight="1" x14ac:dyDescent="0.25">
      <c r="A3" s="38">
        <v>2026</v>
      </c>
      <c r="B3" s="38" t="s">
        <v>318</v>
      </c>
      <c r="C3" s="38">
        <v>40</v>
      </c>
      <c r="D3" s="38">
        <v>0</v>
      </c>
      <c r="E3" s="38">
        <v>40</v>
      </c>
      <c r="F3" s="38">
        <v>32</v>
      </c>
      <c r="G3" s="39">
        <f t="shared" ref="G3:G11" si="0">IF(E3=0,"N/A",F3/E3)</f>
        <v>0.8</v>
      </c>
    </row>
    <row r="4" spans="1:7" ht="15" customHeight="1" x14ac:dyDescent="0.25">
      <c r="A4" s="36">
        <v>2025</v>
      </c>
      <c r="B4" s="36" t="s">
        <v>147</v>
      </c>
      <c r="C4" s="36">
        <v>134</v>
      </c>
      <c r="D4" s="36">
        <v>6</v>
      </c>
      <c r="E4" s="36">
        <v>128</v>
      </c>
      <c r="F4" s="36">
        <v>87</v>
      </c>
      <c r="G4" s="37">
        <f t="shared" si="0"/>
        <v>0.6796875</v>
      </c>
    </row>
    <row r="5" spans="1:7" ht="15" customHeight="1" x14ac:dyDescent="0.25">
      <c r="A5" s="38">
        <v>2026</v>
      </c>
      <c r="B5" s="38" t="s">
        <v>147</v>
      </c>
      <c r="C5" s="38">
        <v>106</v>
      </c>
      <c r="D5" s="38">
        <v>2</v>
      </c>
      <c r="E5" s="38">
        <v>104</v>
      </c>
      <c r="F5" s="38">
        <v>101</v>
      </c>
      <c r="G5" s="39">
        <f t="shared" si="0"/>
        <v>0.97115384615384615</v>
      </c>
    </row>
    <row r="6" spans="1:7" ht="15" customHeight="1" x14ac:dyDescent="0.25">
      <c r="A6" s="36">
        <v>2025</v>
      </c>
      <c r="B6" s="36" t="s">
        <v>324</v>
      </c>
      <c r="C6" s="36">
        <v>135</v>
      </c>
      <c r="D6" s="36">
        <v>1</v>
      </c>
      <c r="E6" s="36">
        <v>134</v>
      </c>
      <c r="F6" s="36">
        <v>134</v>
      </c>
      <c r="G6" s="37">
        <f t="shared" si="0"/>
        <v>1</v>
      </c>
    </row>
    <row r="7" spans="1:7" ht="15" customHeight="1" x14ac:dyDescent="0.25">
      <c r="A7" s="38">
        <v>2026</v>
      </c>
      <c r="B7" s="38" t="s">
        <v>324</v>
      </c>
      <c r="C7" s="38">
        <v>122</v>
      </c>
      <c r="D7" s="38">
        <v>5</v>
      </c>
      <c r="E7" s="38">
        <v>117</v>
      </c>
      <c r="F7" s="38">
        <v>117</v>
      </c>
      <c r="G7" s="39">
        <f t="shared" si="0"/>
        <v>1</v>
      </c>
    </row>
    <row r="8" spans="1:7" ht="15" customHeight="1" x14ac:dyDescent="0.25">
      <c r="A8" s="36">
        <v>2025</v>
      </c>
      <c r="B8" s="36" t="s">
        <v>149</v>
      </c>
      <c r="C8" s="36">
        <v>2</v>
      </c>
      <c r="D8" s="36">
        <v>0</v>
      </c>
      <c r="E8" s="36">
        <v>2</v>
      </c>
      <c r="F8" s="36">
        <v>1</v>
      </c>
      <c r="G8" s="37">
        <f t="shared" si="0"/>
        <v>0.5</v>
      </c>
    </row>
    <row r="9" spans="1:7" ht="15" customHeight="1" x14ac:dyDescent="0.25">
      <c r="A9" s="38">
        <v>2026</v>
      </c>
      <c r="B9" s="38" t="s">
        <v>149</v>
      </c>
      <c r="C9" s="38">
        <v>2</v>
      </c>
      <c r="D9" s="38">
        <v>0</v>
      </c>
      <c r="E9" s="38">
        <v>2</v>
      </c>
      <c r="F9" s="38">
        <v>1</v>
      </c>
      <c r="G9" s="39">
        <f t="shared" si="0"/>
        <v>0.5</v>
      </c>
    </row>
    <row r="10" spans="1:7" ht="15" customHeight="1" x14ac:dyDescent="0.25">
      <c r="A10" s="36">
        <v>2025</v>
      </c>
      <c r="B10" s="36" t="s">
        <v>151</v>
      </c>
      <c r="C10" s="36">
        <v>74571</v>
      </c>
      <c r="D10" s="36">
        <v>1255</v>
      </c>
      <c r="E10" s="36">
        <v>73316</v>
      </c>
      <c r="F10" s="36">
        <v>60903</v>
      </c>
      <c r="G10" s="37">
        <f t="shared" si="0"/>
        <v>0.83069179987997166</v>
      </c>
    </row>
    <row r="11" spans="1:7" ht="15" customHeight="1" x14ac:dyDescent="0.25">
      <c r="A11" s="38">
        <v>2026</v>
      </c>
      <c r="B11" s="38" t="s">
        <v>151</v>
      </c>
      <c r="C11" s="38">
        <v>67408</v>
      </c>
      <c r="D11" s="38">
        <v>1211</v>
      </c>
      <c r="E11" s="38">
        <v>66197</v>
      </c>
      <c r="F11" s="38">
        <v>54596</v>
      </c>
      <c r="G11" s="39">
        <f t="shared" si="0"/>
        <v>0.82475036633080046</v>
      </c>
    </row>
    <row r="12" spans="1:7" ht="15" customHeight="1" x14ac:dyDescent="0.25">
      <c r="A12" s="36">
        <v>2025</v>
      </c>
      <c r="B12" s="36" t="s">
        <v>325</v>
      </c>
      <c r="C12" s="36" t="s">
        <v>126</v>
      </c>
      <c r="D12" s="36" t="s">
        <v>126</v>
      </c>
      <c r="E12" s="36" t="s">
        <v>126</v>
      </c>
      <c r="F12" s="36" t="s">
        <v>126</v>
      </c>
      <c r="G12" s="36" t="s">
        <v>126</v>
      </c>
    </row>
    <row r="13" spans="1:7" ht="15" customHeight="1" x14ac:dyDescent="0.25">
      <c r="A13" s="38">
        <v>2026</v>
      </c>
      <c r="B13" s="38" t="s">
        <v>325</v>
      </c>
      <c r="C13" s="38">
        <v>1147</v>
      </c>
      <c r="D13" s="38">
        <v>22</v>
      </c>
      <c r="E13" s="38">
        <v>1125</v>
      </c>
      <c r="F13" s="38">
        <v>876</v>
      </c>
      <c r="G13" s="39">
        <f>IF(E13=0,"N/A",F13/E13)</f>
        <v>0.77866666666666662</v>
      </c>
    </row>
    <row r="14" spans="1:7" ht="15" customHeight="1" x14ac:dyDescent="0.25">
      <c r="A14" s="36">
        <v>2025</v>
      </c>
      <c r="B14" s="36" t="s">
        <v>153</v>
      </c>
      <c r="C14" s="36">
        <v>146852</v>
      </c>
      <c r="D14" s="36">
        <v>2966</v>
      </c>
      <c r="E14" s="36">
        <v>143886</v>
      </c>
      <c r="F14" s="36">
        <v>103561</v>
      </c>
      <c r="G14" s="37">
        <f>IF(E14=0,"N/A",F14/E14)</f>
        <v>0.71974340797575853</v>
      </c>
    </row>
    <row r="15" spans="1:7" ht="15" customHeight="1" x14ac:dyDescent="0.25">
      <c r="A15" s="38">
        <v>2026</v>
      </c>
      <c r="B15" s="38" t="s">
        <v>153</v>
      </c>
      <c r="C15" s="38">
        <v>134605</v>
      </c>
      <c r="D15" s="38">
        <v>2769</v>
      </c>
      <c r="E15" s="38">
        <v>131836</v>
      </c>
      <c r="F15" s="38">
        <v>106657</v>
      </c>
      <c r="G15" s="39">
        <f>IF(E15=0,"N/A",F15/E15)</f>
        <v>0.80901271276434361</v>
      </c>
    </row>
    <row r="16" spans="1:7" ht="15" customHeight="1" x14ac:dyDescent="0.25">
      <c r="A16" s="36">
        <v>2025</v>
      </c>
      <c r="B16" s="36" t="s">
        <v>326</v>
      </c>
      <c r="C16" s="36" t="s">
        <v>126</v>
      </c>
      <c r="D16" s="36" t="s">
        <v>126</v>
      </c>
      <c r="E16" s="36" t="s">
        <v>126</v>
      </c>
      <c r="F16" s="36" t="s">
        <v>126</v>
      </c>
      <c r="G16" s="36" t="s">
        <v>126</v>
      </c>
    </row>
    <row r="17" spans="1:7" ht="15" customHeight="1" x14ac:dyDescent="0.25">
      <c r="A17" s="38">
        <v>2026</v>
      </c>
      <c r="B17" s="38" t="s">
        <v>326</v>
      </c>
      <c r="C17" s="38">
        <v>4783</v>
      </c>
      <c r="D17" s="38">
        <v>130</v>
      </c>
      <c r="E17" s="38">
        <v>4653</v>
      </c>
      <c r="F17" s="38">
        <v>3660</v>
      </c>
      <c r="G17" s="39">
        <f>IF(E17=0,"N/A",F17/E17)</f>
        <v>0.78658929722759507</v>
      </c>
    </row>
    <row r="18" spans="1:7" ht="15" customHeight="1" x14ac:dyDescent="0.25">
      <c r="A18" s="36">
        <v>2025</v>
      </c>
      <c r="B18" s="36" t="s">
        <v>155</v>
      </c>
      <c r="C18" s="36">
        <v>679</v>
      </c>
      <c r="D18" s="36">
        <v>23</v>
      </c>
      <c r="E18" s="36">
        <v>656</v>
      </c>
      <c r="F18" s="36">
        <v>508</v>
      </c>
      <c r="G18" s="37">
        <f>IF(E18=0,"N/A",F18/E18)</f>
        <v>0.77439024390243905</v>
      </c>
    </row>
    <row r="19" spans="1:7" ht="15" customHeight="1" x14ac:dyDescent="0.25">
      <c r="A19" s="38">
        <v>2026</v>
      </c>
      <c r="B19" s="38" t="s">
        <v>155</v>
      </c>
      <c r="C19" s="38">
        <v>684</v>
      </c>
      <c r="D19" s="38">
        <v>28</v>
      </c>
      <c r="E19" s="38">
        <v>656</v>
      </c>
      <c r="F19" s="38">
        <v>556</v>
      </c>
      <c r="G19" s="39">
        <f>IF(E19=0,"N/A",F19/E19)</f>
        <v>0.84756097560975607</v>
      </c>
    </row>
    <row r="20" spans="1:7" ht="15" customHeight="1" x14ac:dyDescent="0.25">
      <c r="A20" s="36">
        <v>2025</v>
      </c>
      <c r="B20" s="36" t="s">
        <v>327</v>
      </c>
      <c r="C20" s="36">
        <v>242</v>
      </c>
      <c r="D20" s="36">
        <v>11</v>
      </c>
      <c r="E20" s="36">
        <v>231</v>
      </c>
      <c r="F20" s="36">
        <v>104</v>
      </c>
      <c r="G20" s="37">
        <f>IF(E20=0,"N/A",F20/E20)</f>
        <v>0.45021645021645024</v>
      </c>
    </row>
    <row r="21" spans="1:7" ht="15" customHeight="1" x14ac:dyDescent="0.25">
      <c r="A21" s="38">
        <v>2026</v>
      </c>
      <c r="B21" s="38" t="s">
        <v>327</v>
      </c>
      <c r="C21" s="38">
        <v>391</v>
      </c>
      <c r="D21" s="38">
        <v>16</v>
      </c>
      <c r="E21" s="38">
        <v>375</v>
      </c>
      <c r="F21" s="38">
        <v>325</v>
      </c>
      <c r="G21" s="39">
        <f>IF(E21=0,"N/A",F21/E21)</f>
        <v>0.8666666666666667</v>
      </c>
    </row>
    <row r="22" spans="1:7" ht="15" customHeight="1" x14ac:dyDescent="0.25">
      <c r="A22" s="36">
        <v>2025</v>
      </c>
      <c r="B22" s="36" t="s">
        <v>328</v>
      </c>
      <c r="C22" s="36" t="s">
        <v>126</v>
      </c>
      <c r="D22" s="36" t="s">
        <v>126</v>
      </c>
      <c r="E22" s="36" t="s">
        <v>126</v>
      </c>
      <c r="F22" s="36" t="s">
        <v>126</v>
      </c>
      <c r="G22" s="36" t="s">
        <v>126</v>
      </c>
    </row>
    <row r="23" spans="1:7" ht="15" customHeight="1" x14ac:dyDescent="0.25">
      <c r="A23" s="38">
        <v>2026</v>
      </c>
      <c r="B23" s="38" t="s">
        <v>328</v>
      </c>
      <c r="C23" s="38">
        <v>810</v>
      </c>
      <c r="D23" s="38">
        <v>33</v>
      </c>
      <c r="E23" s="38">
        <v>777</v>
      </c>
      <c r="F23" s="38">
        <v>684</v>
      </c>
      <c r="G23" s="39">
        <f>IF(E23=0,"N/A",F23/E23)</f>
        <v>0.88030888030888033</v>
      </c>
    </row>
    <row r="24" spans="1:7" ht="15" customHeight="1" x14ac:dyDescent="0.25">
      <c r="A24" s="36">
        <v>2025</v>
      </c>
      <c r="B24" s="36" t="s">
        <v>329</v>
      </c>
      <c r="C24" s="36">
        <v>36</v>
      </c>
      <c r="D24" s="36">
        <v>4</v>
      </c>
      <c r="E24" s="36">
        <v>32</v>
      </c>
      <c r="F24" s="36">
        <v>7</v>
      </c>
      <c r="G24" s="37">
        <f>IF(E24=0,"N/A",F24/E24)</f>
        <v>0.21875</v>
      </c>
    </row>
    <row r="25" spans="1:7" ht="15" customHeight="1" x14ac:dyDescent="0.25">
      <c r="A25" s="38">
        <v>2026</v>
      </c>
      <c r="B25" s="38" t="s">
        <v>329</v>
      </c>
      <c r="C25" s="38">
        <v>1</v>
      </c>
      <c r="D25" s="38">
        <v>1</v>
      </c>
      <c r="E25" s="38">
        <v>0</v>
      </c>
      <c r="F25" s="38">
        <v>0</v>
      </c>
      <c r="G25" s="39" t="str">
        <f>IF(E25=0,"N/A",F25/E25)</f>
        <v>N/A</v>
      </c>
    </row>
    <row r="26" spans="1:7" ht="15" customHeight="1" x14ac:dyDescent="0.25">
      <c r="A26" s="36">
        <v>2025</v>
      </c>
      <c r="B26" s="36" t="s">
        <v>157</v>
      </c>
      <c r="C26" s="36">
        <v>81785</v>
      </c>
      <c r="D26" s="36">
        <v>1935</v>
      </c>
      <c r="E26" s="36">
        <v>79850</v>
      </c>
      <c r="F26" s="36">
        <v>68566</v>
      </c>
      <c r="G26" s="37">
        <f>IF(E26=0,"N/A",F26/E26)</f>
        <v>0.85868503443957422</v>
      </c>
    </row>
    <row r="27" spans="1:7" ht="15" customHeight="1" x14ac:dyDescent="0.25">
      <c r="A27" s="38">
        <v>2026</v>
      </c>
      <c r="B27" s="38" t="s">
        <v>157</v>
      </c>
      <c r="C27" s="38" t="s">
        <v>126</v>
      </c>
      <c r="D27" s="38" t="s">
        <v>126</v>
      </c>
      <c r="E27" s="38" t="s">
        <v>126</v>
      </c>
      <c r="F27" s="38" t="s">
        <v>126</v>
      </c>
      <c r="G27" s="38" t="s">
        <v>126</v>
      </c>
    </row>
    <row r="28" spans="1:7" ht="15" customHeight="1" x14ac:dyDescent="0.25">
      <c r="A28" s="36">
        <v>2025</v>
      </c>
      <c r="B28" s="36" t="s">
        <v>330</v>
      </c>
      <c r="C28" s="36" t="s">
        <v>126</v>
      </c>
      <c r="D28" s="36" t="s">
        <v>126</v>
      </c>
      <c r="E28" s="36" t="s">
        <v>126</v>
      </c>
      <c r="F28" s="36" t="s">
        <v>126</v>
      </c>
      <c r="G28" s="36" t="s">
        <v>126</v>
      </c>
    </row>
    <row r="29" spans="1:7" ht="15" customHeight="1" x14ac:dyDescent="0.25">
      <c r="A29" s="38">
        <v>2026</v>
      </c>
      <c r="B29" s="38" t="s">
        <v>330</v>
      </c>
      <c r="C29" s="38">
        <v>73907</v>
      </c>
      <c r="D29" s="38">
        <v>1856</v>
      </c>
      <c r="E29" s="38">
        <v>72051</v>
      </c>
      <c r="F29" s="38">
        <v>59919</v>
      </c>
      <c r="G29" s="39">
        <f>IF(E29=0,"N/A",F29/E29)</f>
        <v>0.83161926968397382</v>
      </c>
    </row>
    <row r="30" spans="1:7" ht="15" customHeight="1" x14ac:dyDescent="0.25">
      <c r="A30" s="36">
        <v>2025</v>
      </c>
      <c r="B30" s="36" t="s">
        <v>331</v>
      </c>
      <c r="C30" s="36" t="s">
        <v>126</v>
      </c>
      <c r="D30" s="36" t="s">
        <v>126</v>
      </c>
      <c r="E30" s="36" t="s">
        <v>126</v>
      </c>
      <c r="F30" s="36" t="s">
        <v>126</v>
      </c>
      <c r="G30" s="36" t="s">
        <v>126</v>
      </c>
    </row>
    <row r="31" spans="1:7" ht="15" customHeight="1" x14ac:dyDescent="0.25">
      <c r="A31" s="38">
        <v>2026</v>
      </c>
      <c r="B31" s="38" t="s">
        <v>331</v>
      </c>
      <c r="C31" s="38">
        <v>4446</v>
      </c>
      <c r="D31" s="38">
        <v>139</v>
      </c>
      <c r="E31" s="38">
        <v>4307</v>
      </c>
      <c r="F31" s="38">
        <v>3308</v>
      </c>
      <c r="G31" s="39">
        <f t="shared" ref="G31:G46" si="1">IF(E31=0,"N/A",F31/E31)</f>
        <v>0.76805200835848619</v>
      </c>
    </row>
    <row r="32" spans="1:7" ht="15" customHeight="1" x14ac:dyDescent="0.25">
      <c r="A32" s="36">
        <v>2025</v>
      </c>
      <c r="B32" s="36" t="s">
        <v>332</v>
      </c>
      <c r="C32" s="36">
        <v>135</v>
      </c>
      <c r="D32" s="36">
        <v>2</v>
      </c>
      <c r="E32" s="36">
        <v>133</v>
      </c>
      <c r="F32" s="36">
        <v>133</v>
      </c>
      <c r="G32" s="37">
        <f t="shared" si="1"/>
        <v>1</v>
      </c>
    </row>
    <row r="33" spans="1:7" ht="15" customHeight="1" x14ac:dyDescent="0.25">
      <c r="A33" s="38">
        <v>2026</v>
      </c>
      <c r="B33" s="38" t="s">
        <v>332</v>
      </c>
      <c r="C33" s="38">
        <v>122</v>
      </c>
      <c r="D33" s="38">
        <v>5</v>
      </c>
      <c r="E33" s="38">
        <v>117</v>
      </c>
      <c r="F33" s="38">
        <v>117</v>
      </c>
      <c r="G33" s="39">
        <f t="shared" si="1"/>
        <v>1</v>
      </c>
    </row>
    <row r="34" spans="1:7" ht="15" customHeight="1" x14ac:dyDescent="0.25">
      <c r="A34" s="36">
        <v>2025</v>
      </c>
      <c r="B34" s="36" t="s">
        <v>333</v>
      </c>
      <c r="C34" s="36">
        <v>101</v>
      </c>
      <c r="D34" s="36">
        <v>1</v>
      </c>
      <c r="E34" s="36">
        <v>100</v>
      </c>
      <c r="F34" s="36">
        <v>100</v>
      </c>
      <c r="G34" s="37">
        <f t="shared" si="1"/>
        <v>1</v>
      </c>
    </row>
    <row r="35" spans="1:7" ht="15" customHeight="1" x14ac:dyDescent="0.25">
      <c r="A35" s="38">
        <v>2026</v>
      </c>
      <c r="B35" s="38" t="s">
        <v>333</v>
      </c>
      <c r="C35" s="38">
        <v>111</v>
      </c>
      <c r="D35" s="38">
        <v>5</v>
      </c>
      <c r="E35" s="38">
        <v>106</v>
      </c>
      <c r="F35" s="38">
        <v>106</v>
      </c>
      <c r="G35" s="39">
        <f t="shared" si="1"/>
        <v>1</v>
      </c>
    </row>
    <row r="36" spans="1:7" ht="15" customHeight="1" x14ac:dyDescent="0.25">
      <c r="A36" s="36">
        <v>2025</v>
      </c>
      <c r="B36" s="36" t="s">
        <v>334</v>
      </c>
      <c r="C36" s="36">
        <v>197</v>
      </c>
      <c r="D36" s="36">
        <v>20</v>
      </c>
      <c r="E36" s="36">
        <v>177</v>
      </c>
      <c r="F36" s="36">
        <v>108</v>
      </c>
      <c r="G36" s="37">
        <f t="shared" si="1"/>
        <v>0.61016949152542377</v>
      </c>
    </row>
    <row r="37" spans="1:7" ht="15" customHeight="1" x14ac:dyDescent="0.25">
      <c r="A37" s="38">
        <v>2026</v>
      </c>
      <c r="B37" s="38" t="s">
        <v>334</v>
      </c>
      <c r="C37" s="38">
        <v>169</v>
      </c>
      <c r="D37" s="38">
        <v>14</v>
      </c>
      <c r="E37" s="38">
        <v>155</v>
      </c>
      <c r="F37" s="38">
        <v>68</v>
      </c>
      <c r="G37" s="39">
        <f t="shared" si="1"/>
        <v>0.43870967741935485</v>
      </c>
    </row>
    <row r="38" spans="1:7" ht="15" customHeight="1" x14ac:dyDescent="0.25">
      <c r="A38" s="36">
        <v>2025</v>
      </c>
      <c r="B38" s="36" t="s">
        <v>161</v>
      </c>
      <c r="C38" s="36">
        <v>116</v>
      </c>
      <c r="D38" s="36">
        <v>11</v>
      </c>
      <c r="E38" s="36">
        <v>105</v>
      </c>
      <c r="F38" s="36">
        <v>82</v>
      </c>
      <c r="G38" s="37">
        <f t="shared" si="1"/>
        <v>0.78095238095238095</v>
      </c>
    </row>
    <row r="39" spans="1:7" ht="15" customHeight="1" x14ac:dyDescent="0.25">
      <c r="A39" s="38">
        <v>2026</v>
      </c>
      <c r="B39" s="38" t="s">
        <v>161</v>
      </c>
      <c r="C39" s="38">
        <v>108</v>
      </c>
      <c r="D39" s="38">
        <v>6</v>
      </c>
      <c r="E39" s="38">
        <v>102</v>
      </c>
      <c r="F39" s="38">
        <v>90</v>
      </c>
      <c r="G39" s="39">
        <f t="shared" si="1"/>
        <v>0.88235294117647056</v>
      </c>
    </row>
    <row r="40" spans="1:7" ht="15" customHeight="1" x14ac:dyDescent="0.25">
      <c r="A40" s="36">
        <v>2025</v>
      </c>
      <c r="B40" s="36" t="s">
        <v>335</v>
      </c>
      <c r="C40" s="36">
        <v>6678</v>
      </c>
      <c r="D40" s="36">
        <v>314</v>
      </c>
      <c r="E40" s="36">
        <v>6364</v>
      </c>
      <c r="F40" s="36">
        <v>5834</v>
      </c>
      <c r="G40" s="37">
        <f t="shared" si="1"/>
        <v>0.91671904462602138</v>
      </c>
    </row>
    <row r="41" spans="1:7" ht="15" customHeight="1" x14ac:dyDescent="0.25">
      <c r="A41" s="38">
        <v>2026</v>
      </c>
      <c r="B41" s="38" t="s">
        <v>335</v>
      </c>
      <c r="C41" s="38">
        <v>8101</v>
      </c>
      <c r="D41" s="38">
        <v>336</v>
      </c>
      <c r="E41" s="38">
        <v>7765</v>
      </c>
      <c r="F41" s="38">
        <v>7129</v>
      </c>
      <c r="G41" s="39">
        <f t="shared" si="1"/>
        <v>0.9180940115904701</v>
      </c>
    </row>
    <row r="42" spans="1:7" ht="15" customHeight="1" x14ac:dyDescent="0.25">
      <c r="A42" s="36">
        <v>2025</v>
      </c>
      <c r="B42" s="36" t="s">
        <v>336</v>
      </c>
      <c r="C42" s="36">
        <v>89</v>
      </c>
      <c r="D42" s="36">
        <v>3</v>
      </c>
      <c r="E42" s="36">
        <v>86</v>
      </c>
      <c r="F42" s="36">
        <v>53</v>
      </c>
      <c r="G42" s="37">
        <f t="shared" si="1"/>
        <v>0.61627906976744184</v>
      </c>
    </row>
    <row r="43" spans="1:7" ht="15" customHeight="1" x14ac:dyDescent="0.25">
      <c r="A43" s="38">
        <v>2026</v>
      </c>
      <c r="B43" s="38" t="s">
        <v>336</v>
      </c>
      <c r="C43" s="38">
        <v>203</v>
      </c>
      <c r="D43" s="38">
        <v>10</v>
      </c>
      <c r="E43" s="38">
        <v>193</v>
      </c>
      <c r="F43" s="38">
        <v>153</v>
      </c>
      <c r="G43" s="39">
        <f t="shared" si="1"/>
        <v>0.79274611398963735</v>
      </c>
    </row>
    <row r="44" spans="1:7" ht="15" customHeight="1" x14ac:dyDescent="0.25">
      <c r="A44" s="36">
        <v>2025</v>
      </c>
      <c r="B44" s="36" t="s">
        <v>337</v>
      </c>
      <c r="C44" s="36">
        <v>4831</v>
      </c>
      <c r="D44" s="36">
        <v>199</v>
      </c>
      <c r="E44" s="36">
        <v>4632</v>
      </c>
      <c r="F44" s="36">
        <v>3529</v>
      </c>
      <c r="G44" s="37">
        <f t="shared" si="1"/>
        <v>0.761873920552677</v>
      </c>
    </row>
    <row r="45" spans="1:7" ht="15" customHeight="1" x14ac:dyDescent="0.25">
      <c r="A45" s="38">
        <v>2026</v>
      </c>
      <c r="B45" s="38" t="s">
        <v>337</v>
      </c>
      <c r="C45" s="38">
        <v>4197</v>
      </c>
      <c r="D45" s="38">
        <v>149</v>
      </c>
      <c r="E45" s="38">
        <v>4048</v>
      </c>
      <c r="F45" s="38">
        <v>3068</v>
      </c>
      <c r="G45" s="39">
        <f t="shared" si="1"/>
        <v>0.7579051383399209</v>
      </c>
    </row>
    <row r="46" spans="1:7" ht="15" customHeight="1" x14ac:dyDescent="0.25">
      <c r="A46" s="36">
        <v>2025</v>
      </c>
      <c r="B46" s="36" t="s">
        <v>338</v>
      </c>
      <c r="C46" s="36">
        <v>34</v>
      </c>
      <c r="D46" s="36">
        <v>0</v>
      </c>
      <c r="E46" s="36">
        <v>34</v>
      </c>
      <c r="F46" s="36">
        <v>34</v>
      </c>
      <c r="G46" s="37">
        <f t="shared" si="1"/>
        <v>1</v>
      </c>
    </row>
    <row r="47" spans="1:7" ht="15" customHeight="1" x14ac:dyDescent="0.25">
      <c r="A47" s="38">
        <v>2026</v>
      </c>
      <c r="B47" s="38" t="s">
        <v>338</v>
      </c>
      <c r="C47" s="38" t="s">
        <v>126</v>
      </c>
      <c r="D47" s="38" t="s">
        <v>126</v>
      </c>
      <c r="E47" s="38" t="s">
        <v>126</v>
      </c>
      <c r="F47" s="38" t="s">
        <v>126</v>
      </c>
      <c r="G47" s="38" t="s">
        <v>126</v>
      </c>
    </row>
    <row r="48" spans="1:7" ht="15" customHeight="1" x14ac:dyDescent="0.25">
      <c r="A48" s="36">
        <v>2025</v>
      </c>
      <c r="B48" s="36" t="s">
        <v>163</v>
      </c>
      <c r="C48" s="36">
        <v>178021</v>
      </c>
      <c r="D48" s="36">
        <v>4075</v>
      </c>
      <c r="E48" s="36">
        <v>173946</v>
      </c>
      <c r="F48" s="36">
        <v>141255</v>
      </c>
      <c r="G48" s="37">
        <f>IF(E48=0,"N/A",F48/E48)</f>
        <v>0.81206236418198752</v>
      </c>
    </row>
    <row r="49" spans="1:7" ht="15" customHeight="1" x14ac:dyDescent="0.25">
      <c r="A49" s="38">
        <v>2026</v>
      </c>
      <c r="B49" s="38" t="s">
        <v>163</v>
      </c>
      <c r="C49" s="38">
        <v>172081</v>
      </c>
      <c r="D49" s="38">
        <v>4152</v>
      </c>
      <c r="E49" s="38">
        <v>167929</v>
      </c>
      <c r="F49" s="38">
        <v>142511</v>
      </c>
      <c r="G49" s="39">
        <f>IF(E49=0,"N/A",F49/E49)</f>
        <v>0.84863841266249429</v>
      </c>
    </row>
    <row r="50" spans="1:7" ht="15" customHeight="1" x14ac:dyDescent="0.25">
      <c r="A50" s="36">
        <v>2025</v>
      </c>
      <c r="B50" s="36" t="s">
        <v>339</v>
      </c>
      <c r="C50" s="36">
        <v>135</v>
      </c>
      <c r="D50" s="36">
        <v>2</v>
      </c>
      <c r="E50" s="36">
        <v>133</v>
      </c>
      <c r="F50" s="36">
        <v>130</v>
      </c>
      <c r="G50" s="37">
        <f>IF(E50=0,"N/A",F50/E50)</f>
        <v>0.97744360902255634</v>
      </c>
    </row>
    <row r="51" spans="1:7" ht="15" customHeight="1" x14ac:dyDescent="0.25">
      <c r="A51" s="38">
        <v>2026</v>
      </c>
      <c r="B51" s="38" t="s">
        <v>339</v>
      </c>
      <c r="C51" s="38">
        <v>122</v>
      </c>
      <c r="D51" s="38">
        <v>5</v>
      </c>
      <c r="E51" s="38">
        <v>117</v>
      </c>
      <c r="F51" s="38">
        <v>117</v>
      </c>
      <c r="G51" s="39">
        <f>IF(E51=0,"N/A",F51/E51)</f>
        <v>1</v>
      </c>
    </row>
    <row r="52" spans="1:7" ht="15" customHeight="1" x14ac:dyDescent="0.25">
      <c r="A52" s="36">
        <v>2025</v>
      </c>
      <c r="B52" s="36" t="s">
        <v>340</v>
      </c>
      <c r="C52" s="36" t="s">
        <v>126</v>
      </c>
      <c r="D52" s="36" t="s">
        <v>126</v>
      </c>
      <c r="E52" s="36" t="s">
        <v>126</v>
      </c>
      <c r="F52" s="36" t="s">
        <v>126</v>
      </c>
      <c r="G52" s="36" t="s">
        <v>126</v>
      </c>
    </row>
    <row r="53" spans="1:7" ht="15" customHeight="1" x14ac:dyDescent="0.25">
      <c r="A53" s="38">
        <v>2026</v>
      </c>
      <c r="B53" s="38" t="s">
        <v>340</v>
      </c>
      <c r="C53" s="38">
        <v>1</v>
      </c>
      <c r="D53" s="38">
        <v>1</v>
      </c>
      <c r="E53" s="38">
        <v>0</v>
      </c>
      <c r="F53" s="38">
        <v>0</v>
      </c>
      <c r="G53" s="39" t="str">
        <f>IF(E53=0,"N/A",F53/E53)</f>
        <v>N/A</v>
      </c>
    </row>
    <row r="54" spans="1:7" ht="15" customHeight="1" x14ac:dyDescent="0.25">
      <c r="A54" s="36">
        <v>2025</v>
      </c>
      <c r="B54" s="36" t="s">
        <v>341</v>
      </c>
      <c r="C54" s="36">
        <v>248</v>
      </c>
      <c r="D54" s="36">
        <v>5</v>
      </c>
      <c r="E54" s="36">
        <v>243</v>
      </c>
      <c r="F54" s="36">
        <v>142</v>
      </c>
      <c r="G54" s="37">
        <f>IF(E54=0,"N/A",F54/E54)</f>
        <v>0.58436213991769548</v>
      </c>
    </row>
    <row r="55" spans="1:7" ht="15" customHeight="1" x14ac:dyDescent="0.25">
      <c r="A55" s="38">
        <v>2026</v>
      </c>
      <c r="B55" s="38" t="s">
        <v>341</v>
      </c>
      <c r="C55" s="38">
        <v>257</v>
      </c>
      <c r="D55" s="38">
        <v>11</v>
      </c>
      <c r="E55" s="38">
        <v>246</v>
      </c>
      <c r="F55" s="38">
        <v>226</v>
      </c>
      <c r="G55" s="39">
        <f>IF(E55=0,"N/A",F55/E55)</f>
        <v>0.91869918699186992</v>
      </c>
    </row>
    <row r="56" spans="1:7" ht="15" customHeight="1" x14ac:dyDescent="0.25">
      <c r="A56" s="36">
        <v>2025</v>
      </c>
      <c r="B56" s="36" t="s">
        <v>165</v>
      </c>
      <c r="C56" s="36">
        <v>3826</v>
      </c>
      <c r="D56" s="36">
        <v>149</v>
      </c>
      <c r="E56" s="36">
        <v>3677</v>
      </c>
      <c r="F56" s="36">
        <v>3336</v>
      </c>
      <c r="G56" s="37">
        <f>IF(E56=0,"N/A",F56/E56)</f>
        <v>0.90726135436497146</v>
      </c>
    </row>
    <row r="57" spans="1:7" ht="15" customHeight="1" x14ac:dyDescent="0.25">
      <c r="A57" s="38">
        <v>2026</v>
      </c>
      <c r="B57" s="38" t="s">
        <v>165</v>
      </c>
      <c r="C57" s="38">
        <v>3376</v>
      </c>
      <c r="D57" s="38">
        <v>152</v>
      </c>
      <c r="E57" s="38">
        <v>3224</v>
      </c>
      <c r="F57" s="38">
        <v>2833</v>
      </c>
      <c r="G57" s="39">
        <f>IF(E57=0,"N/A",F57/E57)</f>
        <v>0.87872208436724564</v>
      </c>
    </row>
    <row r="58" spans="1:7" ht="15" customHeight="1" x14ac:dyDescent="0.25">
      <c r="A58" s="36">
        <v>2025</v>
      </c>
      <c r="B58" s="36" t="s">
        <v>316</v>
      </c>
      <c r="C58" s="36" t="s">
        <v>126</v>
      </c>
      <c r="D58" s="36" t="s">
        <v>126</v>
      </c>
      <c r="E58" s="36" t="s">
        <v>126</v>
      </c>
      <c r="F58" s="36" t="s">
        <v>126</v>
      </c>
      <c r="G58" s="36" t="s">
        <v>126</v>
      </c>
    </row>
    <row r="59" spans="1:7" ht="15" customHeight="1" x14ac:dyDescent="0.25">
      <c r="A59" s="38">
        <v>2026</v>
      </c>
      <c r="B59" s="38" t="s">
        <v>316</v>
      </c>
      <c r="C59" s="38">
        <v>810</v>
      </c>
      <c r="D59" s="38">
        <v>32</v>
      </c>
      <c r="E59" s="38">
        <v>778</v>
      </c>
      <c r="F59" s="38">
        <v>702</v>
      </c>
      <c r="G59" s="39">
        <f>IF(E59=0,"N/A",F59/E59)</f>
        <v>0.90231362467866327</v>
      </c>
    </row>
    <row r="60" spans="1:7" ht="15" customHeight="1" x14ac:dyDescent="0.25">
      <c r="A60" s="36">
        <v>2025</v>
      </c>
      <c r="B60" s="36" t="s">
        <v>342</v>
      </c>
      <c r="C60" s="36">
        <v>809</v>
      </c>
      <c r="D60" s="36">
        <v>25</v>
      </c>
      <c r="E60" s="36">
        <v>784</v>
      </c>
      <c r="F60" s="36">
        <v>658</v>
      </c>
      <c r="G60" s="37">
        <f>IF(E60=0,"N/A",F60/E60)</f>
        <v>0.8392857142857143</v>
      </c>
    </row>
    <row r="61" spans="1:7" ht="15" customHeight="1" x14ac:dyDescent="0.25">
      <c r="A61" s="38">
        <v>2026</v>
      </c>
      <c r="B61" s="38" t="s">
        <v>342</v>
      </c>
      <c r="C61" s="38">
        <v>1261</v>
      </c>
      <c r="D61" s="38">
        <v>40</v>
      </c>
      <c r="E61" s="38">
        <v>1221</v>
      </c>
      <c r="F61" s="38">
        <v>1027</v>
      </c>
      <c r="G61" s="39">
        <f>IF(E61=0,"N/A",F61/E61)</f>
        <v>0.84111384111384113</v>
      </c>
    </row>
    <row r="62" spans="1:7" ht="15" customHeight="1" x14ac:dyDescent="0.25">
      <c r="A62" s="36">
        <v>2025</v>
      </c>
      <c r="B62" s="36" t="s">
        <v>343</v>
      </c>
      <c r="C62" s="36">
        <v>31169</v>
      </c>
      <c r="D62" s="36">
        <v>1261</v>
      </c>
      <c r="E62" s="36">
        <v>29908</v>
      </c>
      <c r="F62" s="36">
        <v>21810</v>
      </c>
      <c r="G62" s="37">
        <f>IF(E62=0,"N/A",F62/E62)</f>
        <v>0.72923632472916944</v>
      </c>
    </row>
    <row r="63" spans="1:7" ht="15" customHeight="1" x14ac:dyDescent="0.25">
      <c r="A63" s="38">
        <v>2026</v>
      </c>
      <c r="B63" s="38" t="s">
        <v>343</v>
      </c>
      <c r="C63" s="38" t="s">
        <v>126</v>
      </c>
      <c r="D63" s="38" t="s">
        <v>126</v>
      </c>
      <c r="E63" s="38" t="s">
        <v>126</v>
      </c>
      <c r="F63" s="38" t="s">
        <v>126</v>
      </c>
      <c r="G63" s="38" t="s">
        <v>126</v>
      </c>
    </row>
    <row r="64" spans="1:7" ht="15" customHeight="1" x14ac:dyDescent="0.25">
      <c r="A64" s="36">
        <v>2025</v>
      </c>
      <c r="B64" s="36" t="s">
        <v>169</v>
      </c>
      <c r="C64" s="36">
        <v>31169</v>
      </c>
      <c r="D64" s="36">
        <v>1248</v>
      </c>
      <c r="E64" s="36">
        <v>29921</v>
      </c>
      <c r="F64" s="36">
        <v>21904</v>
      </c>
      <c r="G64" s="37">
        <f>IF(E64=0,"N/A",F64/E64)</f>
        <v>0.73206109421476551</v>
      </c>
    </row>
    <row r="65" spans="1:7" ht="15" customHeight="1" x14ac:dyDescent="0.25">
      <c r="A65" s="38">
        <v>2026</v>
      </c>
      <c r="B65" s="38" t="s">
        <v>169</v>
      </c>
      <c r="C65" s="38">
        <v>31883</v>
      </c>
      <c r="D65" s="38">
        <v>1273</v>
      </c>
      <c r="E65" s="38">
        <v>30610</v>
      </c>
      <c r="F65" s="38">
        <v>21187</v>
      </c>
      <c r="G65" s="39">
        <f>IF(E65=0,"N/A",F65/E65)</f>
        <v>0.69215942502450178</v>
      </c>
    </row>
    <row r="66" spans="1:7" ht="15" customHeight="1" x14ac:dyDescent="0.25">
      <c r="A66" s="36">
        <v>2025</v>
      </c>
      <c r="B66" s="36" t="s">
        <v>344</v>
      </c>
      <c r="C66" s="36" t="s">
        <v>126</v>
      </c>
      <c r="D66" s="36" t="s">
        <v>126</v>
      </c>
      <c r="E66" s="36" t="s">
        <v>126</v>
      </c>
      <c r="F66" s="36" t="s">
        <v>126</v>
      </c>
      <c r="G66" s="36" t="s">
        <v>126</v>
      </c>
    </row>
    <row r="67" spans="1:7" ht="15" customHeight="1" x14ac:dyDescent="0.25">
      <c r="A67" s="38">
        <v>2026</v>
      </c>
      <c r="B67" s="38" t="s">
        <v>344</v>
      </c>
      <c r="C67" s="38">
        <v>810</v>
      </c>
      <c r="D67" s="38">
        <v>32</v>
      </c>
      <c r="E67" s="38">
        <v>778</v>
      </c>
      <c r="F67" s="38">
        <v>567</v>
      </c>
      <c r="G67" s="39">
        <f>IF(E67=0,"N/A",F67/E67)</f>
        <v>0.72879177377892035</v>
      </c>
    </row>
    <row r="68" spans="1:7" ht="15" customHeight="1" x14ac:dyDescent="0.25">
      <c r="A68" s="36">
        <v>2025</v>
      </c>
      <c r="B68" s="36" t="s">
        <v>345</v>
      </c>
      <c r="C68" s="36" t="s">
        <v>126</v>
      </c>
      <c r="D68" s="36" t="s">
        <v>126</v>
      </c>
      <c r="E68" s="36" t="s">
        <v>126</v>
      </c>
      <c r="F68" s="36" t="s">
        <v>126</v>
      </c>
      <c r="G68" s="36" t="s">
        <v>126</v>
      </c>
    </row>
    <row r="69" spans="1:7" ht="15" customHeight="1" x14ac:dyDescent="0.25">
      <c r="A69" s="38">
        <v>2026</v>
      </c>
      <c r="B69" s="38" t="s">
        <v>345</v>
      </c>
      <c r="C69" s="38">
        <v>1</v>
      </c>
      <c r="D69" s="38">
        <v>1</v>
      </c>
      <c r="E69" s="38">
        <v>0</v>
      </c>
      <c r="F69" s="38">
        <v>0</v>
      </c>
      <c r="G69" s="39" t="str">
        <f>IF(E69=0,"N/A",F69/E69)</f>
        <v>N/A</v>
      </c>
    </row>
    <row r="70" spans="1:7" ht="15" customHeight="1" x14ac:dyDescent="0.25">
      <c r="A70" s="36">
        <v>2025</v>
      </c>
      <c r="B70" s="36" t="s">
        <v>346</v>
      </c>
      <c r="C70" s="36">
        <v>2</v>
      </c>
      <c r="D70" s="36">
        <v>0</v>
      </c>
      <c r="E70" s="36">
        <v>2</v>
      </c>
      <c r="F70" s="36">
        <v>1</v>
      </c>
      <c r="G70" s="37">
        <f>IF(E70=0,"N/A",F70/E70)</f>
        <v>0.5</v>
      </c>
    </row>
    <row r="71" spans="1:7" ht="15" customHeight="1" x14ac:dyDescent="0.25">
      <c r="A71" s="38">
        <v>2026</v>
      </c>
      <c r="B71" s="38" t="s">
        <v>346</v>
      </c>
      <c r="C71" s="38">
        <v>3</v>
      </c>
      <c r="D71" s="38">
        <v>0</v>
      </c>
      <c r="E71" s="38">
        <v>3</v>
      </c>
      <c r="F71" s="38">
        <v>2</v>
      </c>
      <c r="G71" s="39">
        <f>IF(E71=0,"N/A",F71/E71)</f>
        <v>0.66666666666666663</v>
      </c>
    </row>
    <row r="72" spans="1:7" ht="15" customHeight="1" x14ac:dyDescent="0.25">
      <c r="A72" s="36">
        <v>2025</v>
      </c>
      <c r="B72" s="36" t="s">
        <v>171</v>
      </c>
      <c r="C72" s="36">
        <v>135</v>
      </c>
      <c r="D72" s="36">
        <v>2</v>
      </c>
      <c r="E72" s="36">
        <v>133</v>
      </c>
      <c r="F72" s="36">
        <v>133</v>
      </c>
      <c r="G72" s="37">
        <f>IF(E72=0,"N/A",F72/E72)</f>
        <v>1</v>
      </c>
    </row>
    <row r="73" spans="1:7" ht="15" customHeight="1" x14ac:dyDescent="0.25">
      <c r="A73" s="38">
        <v>2026</v>
      </c>
      <c r="B73" s="38" t="s">
        <v>171</v>
      </c>
      <c r="C73" s="38">
        <v>16814</v>
      </c>
      <c r="D73" s="38">
        <v>707</v>
      </c>
      <c r="E73" s="38">
        <v>16107</v>
      </c>
      <c r="F73" s="38">
        <v>13554</v>
      </c>
      <c r="G73" s="39">
        <f>IF(E73=0,"N/A",F73/E73)</f>
        <v>0.84149748556528214</v>
      </c>
    </row>
    <row r="74" spans="1:7" ht="15" customHeight="1" x14ac:dyDescent="0.25">
      <c r="A74" s="36">
        <v>2025</v>
      </c>
      <c r="B74" s="36" t="s">
        <v>347</v>
      </c>
      <c r="C74" s="36" t="s">
        <v>126</v>
      </c>
      <c r="D74" s="36" t="s">
        <v>126</v>
      </c>
      <c r="E74" s="36" t="s">
        <v>126</v>
      </c>
      <c r="F74" s="36" t="s">
        <v>126</v>
      </c>
      <c r="G74" s="36" t="s">
        <v>126</v>
      </c>
    </row>
    <row r="75" spans="1:7" ht="15" customHeight="1" x14ac:dyDescent="0.25">
      <c r="A75" s="38">
        <v>2026</v>
      </c>
      <c r="B75" s="38" t="s">
        <v>347</v>
      </c>
      <c r="C75" s="38">
        <v>122</v>
      </c>
      <c r="D75" s="38">
        <v>5</v>
      </c>
      <c r="E75" s="38">
        <v>117</v>
      </c>
      <c r="F75" s="38">
        <v>117</v>
      </c>
      <c r="G75" s="39">
        <f>IF(E75=0,"N/A",F75/E75)</f>
        <v>1</v>
      </c>
    </row>
    <row r="76" spans="1:7" ht="15" customHeight="1" x14ac:dyDescent="0.25">
      <c r="A76" s="36">
        <v>2025</v>
      </c>
      <c r="B76" s="36" t="s">
        <v>317</v>
      </c>
      <c r="C76" s="36" t="s">
        <v>126</v>
      </c>
      <c r="D76" s="36" t="s">
        <v>126</v>
      </c>
      <c r="E76" s="36" t="s">
        <v>126</v>
      </c>
      <c r="F76" s="36" t="s">
        <v>126</v>
      </c>
      <c r="G76" s="36" t="s">
        <v>126</v>
      </c>
    </row>
    <row r="77" spans="1:7" ht="15" customHeight="1" x14ac:dyDescent="0.25">
      <c r="A77" s="38">
        <v>2026</v>
      </c>
      <c r="B77" s="38" t="s">
        <v>317</v>
      </c>
      <c r="C77" s="38">
        <v>1107</v>
      </c>
      <c r="D77" s="38">
        <v>23</v>
      </c>
      <c r="E77" s="38">
        <v>1084</v>
      </c>
      <c r="F77" s="38">
        <v>853</v>
      </c>
      <c r="G77" s="39">
        <f>IF(E77=0,"N/A",F77/E77)</f>
        <v>0.78690036900369009</v>
      </c>
    </row>
    <row r="78" spans="1:7" ht="15" customHeight="1" x14ac:dyDescent="0.25">
      <c r="A78" s="36">
        <v>2025</v>
      </c>
      <c r="B78" s="36" t="s">
        <v>348</v>
      </c>
      <c r="C78" s="36">
        <v>1</v>
      </c>
      <c r="D78" s="36">
        <v>0</v>
      </c>
      <c r="E78" s="36">
        <v>1</v>
      </c>
      <c r="F78" s="36">
        <v>1</v>
      </c>
      <c r="G78" s="37">
        <f>IF(E78=0,"N/A",F78/E78)</f>
        <v>1</v>
      </c>
    </row>
    <row r="79" spans="1:7" ht="15" customHeight="1" x14ac:dyDescent="0.25">
      <c r="A79" s="38">
        <v>2026</v>
      </c>
      <c r="B79" s="38" t="s">
        <v>348</v>
      </c>
      <c r="C79" s="38" t="s">
        <v>126</v>
      </c>
      <c r="D79" s="38" t="s">
        <v>126</v>
      </c>
      <c r="E79" s="38" t="s">
        <v>126</v>
      </c>
      <c r="F79" s="38" t="s">
        <v>126</v>
      </c>
      <c r="G79" s="38" t="s">
        <v>126</v>
      </c>
    </row>
    <row r="80" spans="1:7" ht="15" customHeight="1" x14ac:dyDescent="0.25">
      <c r="A80" s="36">
        <v>2025</v>
      </c>
      <c r="B80" s="36" t="s">
        <v>349</v>
      </c>
      <c r="C80" s="36" t="s">
        <v>126</v>
      </c>
      <c r="D80" s="36" t="s">
        <v>126</v>
      </c>
      <c r="E80" s="36" t="s">
        <v>126</v>
      </c>
      <c r="F80" s="36" t="s">
        <v>126</v>
      </c>
      <c r="G80" s="36" t="s">
        <v>126</v>
      </c>
    </row>
    <row r="81" spans="1:7" ht="15" customHeight="1" x14ac:dyDescent="0.25">
      <c r="A81" s="38">
        <v>2026</v>
      </c>
      <c r="B81" s="38" t="s">
        <v>349</v>
      </c>
      <c r="C81" s="38">
        <v>3636</v>
      </c>
      <c r="D81" s="38">
        <v>118</v>
      </c>
      <c r="E81" s="38">
        <v>3518</v>
      </c>
      <c r="F81" s="38">
        <v>2996</v>
      </c>
      <c r="G81" s="39">
        <f t="shared" ref="G81:G92" si="2">IF(E81=0,"N/A",F81/E81)</f>
        <v>0.85162023877202953</v>
      </c>
    </row>
    <row r="82" spans="1:7" ht="15" customHeight="1" x14ac:dyDescent="0.25">
      <c r="A82" s="36">
        <v>2025</v>
      </c>
      <c r="B82" s="36" t="s">
        <v>173</v>
      </c>
      <c r="C82" s="36">
        <v>30</v>
      </c>
      <c r="D82" s="36">
        <v>12</v>
      </c>
      <c r="E82" s="36">
        <v>18</v>
      </c>
      <c r="F82" s="36">
        <v>9</v>
      </c>
      <c r="G82" s="37">
        <f t="shared" si="2"/>
        <v>0.5</v>
      </c>
    </row>
    <row r="83" spans="1:7" ht="15" customHeight="1" x14ac:dyDescent="0.25">
      <c r="A83" s="38">
        <v>2026</v>
      </c>
      <c r="B83" s="38" t="s">
        <v>173</v>
      </c>
      <c r="C83" s="38">
        <v>36</v>
      </c>
      <c r="D83" s="38">
        <v>7</v>
      </c>
      <c r="E83" s="38">
        <v>29</v>
      </c>
      <c r="F83" s="38">
        <v>25</v>
      </c>
      <c r="G83" s="39">
        <f t="shared" si="2"/>
        <v>0.86206896551724133</v>
      </c>
    </row>
    <row r="84" spans="1:7" ht="15" customHeight="1" x14ac:dyDescent="0.25">
      <c r="A84" s="36">
        <v>2025</v>
      </c>
      <c r="B84" s="36" t="s">
        <v>175</v>
      </c>
      <c r="C84" s="36">
        <v>20437</v>
      </c>
      <c r="D84" s="36">
        <v>855</v>
      </c>
      <c r="E84" s="36">
        <v>19582</v>
      </c>
      <c r="F84" s="36">
        <v>17586</v>
      </c>
      <c r="G84" s="37">
        <f t="shared" si="2"/>
        <v>0.89806965580635278</v>
      </c>
    </row>
    <row r="85" spans="1:7" ht="15" customHeight="1" x14ac:dyDescent="0.25">
      <c r="A85" s="38">
        <v>2026</v>
      </c>
      <c r="B85" s="38" t="s">
        <v>175</v>
      </c>
      <c r="C85" s="38">
        <v>21959</v>
      </c>
      <c r="D85" s="38">
        <v>896</v>
      </c>
      <c r="E85" s="38">
        <v>21063</v>
      </c>
      <c r="F85" s="38">
        <v>18230</v>
      </c>
      <c r="G85" s="39">
        <f t="shared" si="2"/>
        <v>0.86549874186962916</v>
      </c>
    </row>
    <row r="86" spans="1:7" ht="15" customHeight="1" x14ac:dyDescent="0.25">
      <c r="A86" s="36">
        <v>2025</v>
      </c>
      <c r="B86" s="36" t="s">
        <v>177</v>
      </c>
      <c r="C86" s="36">
        <v>174546</v>
      </c>
      <c r="D86" s="36">
        <v>4141</v>
      </c>
      <c r="E86" s="36">
        <v>170405</v>
      </c>
      <c r="F86" s="36">
        <v>152075</v>
      </c>
      <c r="G86" s="37">
        <f t="shared" si="2"/>
        <v>0.89243273378128574</v>
      </c>
    </row>
    <row r="87" spans="1:7" ht="15" customHeight="1" x14ac:dyDescent="0.25">
      <c r="A87" s="38">
        <v>2026</v>
      </c>
      <c r="B87" s="38" t="s">
        <v>177</v>
      </c>
      <c r="C87" s="38">
        <v>168974</v>
      </c>
      <c r="D87" s="38">
        <v>4190</v>
      </c>
      <c r="E87" s="38">
        <v>164784</v>
      </c>
      <c r="F87" s="38">
        <v>154224</v>
      </c>
      <c r="G87" s="39">
        <f t="shared" si="2"/>
        <v>0.93591610836003492</v>
      </c>
    </row>
    <row r="88" spans="1:7" ht="15" customHeight="1" x14ac:dyDescent="0.25">
      <c r="A88" s="36">
        <v>2025</v>
      </c>
      <c r="B88" s="36" t="s">
        <v>350</v>
      </c>
      <c r="C88" s="36">
        <v>135</v>
      </c>
      <c r="D88" s="36">
        <v>1</v>
      </c>
      <c r="E88" s="36">
        <v>134</v>
      </c>
      <c r="F88" s="36">
        <v>134</v>
      </c>
      <c r="G88" s="37">
        <f t="shared" si="2"/>
        <v>1</v>
      </c>
    </row>
    <row r="89" spans="1:7" ht="15" customHeight="1" x14ac:dyDescent="0.25">
      <c r="A89" s="38">
        <v>2026</v>
      </c>
      <c r="B89" s="38" t="s">
        <v>350</v>
      </c>
      <c r="C89" s="38">
        <v>122</v>
      </c>
      <c r="D89" s="38">
        <v>5</v>
      </c>
      <c r="E89" s="38">
        <v>117</v>
      </c>
      <c r="F89" s="38">
        <v>117</v>
      </c>
      <c r="G89" s="39">
        <f t="shared" si="2"/>
        <v>1</v>
      </c>
    </row>
    <row r="90" spans="1:7" ht="15" customHeight="1" x14ac:dyDescent="0.25">
      <c r="A90" s="36">
        <v>2025</v>
      </c>
      <c r="B90" s="36" t="s">
        <v>351</v>
      </c>
      <c r="C90" s="36">
        <v>146852</v>
      </c>
      <c r="D90" s="36">
        <v>3017</v>
      </c>
      <c r="E90" s="36">
        <v>143835</v>
      </c>
      <c r="F90" s="36">
        <v>111176</v>
      </c>
      <c r="G90" s="37">
        <f t="shared" si="2"/>
        <v>0.77294121736712207</v>
      </c>
    </row>
    <row r="91" spans="1:7" ht="15" customHeight="1" x14ac:dyDescent="0.25">
      <c r="A91" s="38">
        <v>2026</v>
      </c>
      <c r="B91" s="38" t="s">
        <v>351</v>
      </c>
      <c r="C91" s="38">
        <v>172081</v>
      </c>
      <c r="D91" s="38">
        <v>4234</v>
      </c>
      <c r="E91" s="38">
        <v>167847</v>
      </c>
      <c r="F91" s="38">
        <v>114945</v>
      </c>
      <c r="G91" s="39">
        <f t="shared" si="2"/>
        <v>0.68482010402330695</v>
      </c>
    </row>
    <row r="92" spans="1:7" ht="15" customHeight="1" x14ac:dyDescent="0.25">
      <c r="A92" s="36">
        <v>2025</v>
      </c>
      <c r="B92" s="36" t="s">
        <v>183</v>
      </c>
      <c r="C92" s="36">
        <v>135</v>
      </c>
      <c r="D92" s="36">
        <v>1</v>
      </c>
      <c r="E92" s="36">
        <v>134</v>
      </c>
      <c r="F92" s="36">
        <v>134</v>
      </c>
      <c r="G92" s="37">
        <f t="shared" si="2"/>
        <v>1</v>
      </c>
    </row>
    <row r="93" spans="1:7" ht="15" customHeight="1" x14ac:dyDescent="0.25">
      <c r="A93" s="38">
        <v>2026</v>
      </c>
      <c r="B93" s="38" t="s">
        <v>183</v>
      </c>
      <c r="C93" s="38" t="s">
        <v>126</v>
      </c>
      <c r="D93" s="38" t="s">
        <v>126</v>
      </c>
      <c r="E93" s="38" t="s">
        <v>126</v>
      </c>
      <c r="F93" s="38" t="s">
        <v>126</v>
      </c>
      <c r="G93" s="38" t="s">
        <v>126</v>
      </c>
    </row>
    <row r="94" spans="1:7" ht="15" customHeight="1" x14ac:dyDescent="0.25">
      <c r="A94" s="36">
        <v>2025</v>
      </c>
      <c r="B94" s="36" t="s">
        <v>352</v>
      </c>
      <c r="C94" s="36">
        <v>1</v>
      </c>
      <c r="D94" s="36">
        <v>0</v>
      </c>
      <c r="E94" s="36">
        <v>1</v>
      </c>
      <c r="F94" s="36">
        <v>1</v>
      </c>
      <c r="G94" s="37">
        <f>IF(E94=0,"N/A",F94/E94)</f>
        <v>1</v>
      </c>
    </row>
    <row r="95" spans="1:7" ht="15" customHeight="1" x14ac:dyDescent="0.25">
      <c r="A95" s="38">
        <v>2026</v>
      </c>
      <c r="B95" s="38" t="s">
        <v>352</v>
      </c>
      <c r="C95" s="38">
        <v>1</v>
      </c>
      <c r="D95" s="38">
        <v>0</v>
      </c>
      <c r="E95" s="38">
        <v>1</v>
      </c>
      <c r="F95" s="38">
        <v>1</v>
      </c>
      <c r="G95" s="39">
        <f>IF(E95=0,"N/A",F95/E95)</f>
        <v>1</v>
      </c>
    </row>
    <row r="96" spans="1:7" ht="15" customHeight="1" x14ac:dyDescent="0.25">
      <c r="A96" s="36">
        <v>2025</v>
      </c>
      <c r="B96" s="36" t="s">
        <v>353</v>
      </c>
      <c r="C96" s="36">
        <v>15214</v>
      </c>
      <c r="D96" s="36">
        <v>658</v>
      </c>
      <c r="E96" s="36">
        <v>14556</v>
      </c>
      <c r="F96" s="36">
        <v>12452</v>
      </c>
      <c r="G96" s="37">
        <f>IF(E96=0,"N/A",F96/E96)</f>
        <v>0.85545479527342672</v>
      </c>
    </row>
    <row r="97" spans="1:7" ht="15" customHeight="1" x14ac:dyDescent="0.25">
      <c r="A97" s="38">
        <v>2026</v>
      </c>
      <c r="B97" s="38" t="s">
        <v>353</v>
      </c>
      <c r="C97" s="38" t="s">
        <v>126</v>
      </c>
      <c r="D97" s="38" t="s">
        <v>126</v>
      </c>
      <c r="E97" s="38" t="s">
        <v>126</v>
      </c>
      <c r="F97" s="38" t="s">
        <v>126</v>
      </c>
      <c r="G97" s="38" t="s">
        <v>126</v>
      </c>
    </row>
    <row r="98" spans="1:7" ht="15" customHeight="1" x14ac:dyDescent="0.25">
      <c r="A98" s="36">
        <v>2025</v>
      </c>
      <c r="B98" s="36" t="s">
        <v>189</v>
      </c>
      <c r="C98" s="36">
        <v>146852</v>
      </c>
      <c r="D98" s="36">
        <v>3007</v>
      </c>
      <c r="E98" s="36">
        <v>143845</v>
      </c>
      <c r="F98" s="36">
        <v>126382</v>
      </c>
      <c r="G98" s="37">
        <f>IF(E98=0,"N/A",F98/E98)</f>
        <v>0.87859849143174951</v>
      </c>
    </row>
    <row r="99" spans="1:7" ht="15" customHeight="1" x14ac:dyDescent="0.25">
      <c r="A99" s="38">
        <v>2026</v>
      </c>
      <c r="B99" s="38" t="s">
        <v>189</v>
      </c>
      <c r="C99" s="38">
        <v>134605</v>
      </c>
      <c r="D99" s="38">
        <v>2729</v>
      </c>
      <c r="E99" s="38">
        <v>131876</v>
      </c>
      <c r="F99" s="38">
        <v>115806</v>
      </c>
      <c r="G99" s="39">
        <f>IF(E99=0,"N/A",F99/E99)</f>
        <v>0.87814310412812036</v>
      </c>
    </row>
    <row r="100" spans="1:7" ht="15" customHeight="1" x14ac:dyDescent="0.25">
      <c r="A100" s="36">
        <v>2025</v>
      </c>
      <c r="B100" s="36" t="s">
        <v>354</v>
      </c>
      <c r="C100" s="36" t="s">
        <v>126</v>
      </c>
      <c r="D100" s="36" t="s">
        <v>126</v>
      </c>
      <c r="E100" s="36" t="s">
        <v>126</v>
      </c>
      <c r="F100" s="36" t="s">
        <v>126</v>
      </c>
      <c r="G100" s="36" t="s">
        <v>126</v>
      </c>
    </row>
    <row r="101" spans="1:7" ht="15" customHeight="1" x14ac:dyDescent="0.25">
      <c r="A101" s="38">
        <v>2026</v>
      </c>
      <c r="B101" s="38" t="s">
        <v>354</v>
      </c>
      <c r="C101" s="38">
        <v>4783</v>
      </c>
      <c r="D101" s="38">
        <v>127</v>
      </c>
      <c r="E101" s="38">
        <v>4656</v>
      </c>
      <c r="F101" s="38">
        <v>3467</v>
      </c>
      <c r="G101" s="39">
        <f>IF(E101=0,"N/A",F101/E101)</f>
        <v>0.74463058419243988</v>
      </c>
    </row>
    <row r="102" spans="1:7" ht="15" customHeight="1" x14ac:dyDescent="0.25">
      <c r="A102" s="36">
        <v>2025</v>
      </c>
      <c r="B102" s="36" t="s">
        <v>355</v>
      </c>
      <c r="C102" s="36" t="s">
        <v>126</v>
      </c>
      <c r="D102" s="36" t="s">
        <v>126</v>
      </c>
      <c r="E102" s="36" t="s">
        <v>126</v>
      </c>
      <c r="F102" s="36" t="s">
        <v>126</v>
      </c>
      <c r="G102" s="36" t="s">
        <v>126</v>
      </c>
    </row>
    <row r="103" spans="1:7" ht="15" customHeight="1" x14ac:dyDescent="0.25">
      <c r="A103" s="38">
        <v>2026</v>
      </c>
      <c r="B103" s="38" t="s">
        <v>355</v>
      </c>
      <c r="C103" s="38">
        <v>1</v>
      </c>
      <c r="D103" s="38">
        <v>1</v>
      </c>
      <c r="E103" s="38">
        <v>0</v>
      </c>
      <c r="F103" s="38">
        <v>0</v>
      </c>
      <c r="G103" s="39" t="str">
        <f>IF(E103=0,"N/A",F103/E103)</f>
        <v>N/A</v>
      </c>
    </row>
    <row r="104" spans="1:7" ht="15" customHeight="1" x14ac:dyDescent="0.25">
      <c r="A104" s="36">
        <v>2025</v>
      </c>
      <c r="B104" s="36" t="s">
        <v>356</v>
      </c>
      <c r="C104" s="36">
        <v>3090</v>
      </c>
      <c r="D104" s="36">
        <v>144</v>
      </c>
      <c r="E104" s="36">
        <v>2946</v>
      </c>
      <c r="F104" s="36">
        <v>2596</v>
      </c>
      <c r="G104" s="37">
        <f>IF(E104=0,"N/A",F104/E104)</f>
        <v>0.88119484046164287</v>
      </c>
    </row>
    <row r="105" spans="1:7" ht="15" customHeight="1" x14ac:dyDescent="0.25">
      <c r="A105" s="38">
        <v>2026</v>
      </c>
      <c r="B105" s="38" t="s">
        <v>356</v>
      </c>
      <c r="C105" s="38">
        <v>2763</v>
      </c>
      <c r="D105" s="38">
        <v>176</v>
      </c>
      <c r="E105" s="38">
        <v>2587</v>
      </c>
      <c r="F105" s="38">
        <v>2402</v>
      </c>
      <c r="G105" s="39">
        <f>IF(E105=0,"N/A",F105/E105)</f>
        <v>0.92848859683030538</v>
      </c>
    </row>
    <row r="106" spans="1:7" ht="15" customHeight="1" x14ac:dyDescent="0.25">
      <c r="A106" s="36">
        <v>2025</v>
      </c>
      <c r="B106" s="36" t="s">
        <v>357</v>
      </c>
      <c r="C106" s="36">
        <v>3475</v>
      </c>
      <c r="D106" s="36">
        <v>137</v>
      </c>
      <c r="E106" s="36">
        <v>3338</v>
      </c>
      <c r="F106" s="36">
        <v>3030</v>
      </c>
      <c r="G106" s="37">
        <f>IF(E106=0,"N/A",F106/E106)</f>
        <v>0.90772917914919116</v>
      </c>
    </row>
    <row r="107" spans="1:7" ht="15" customHeight="1" x14ac:dyDescent="0.25">
      <c r="A107" s="38">
        <v>2026</v>
      </c>
      <c r="B107" s="38" t="s">
        <v>357</v>
      </c>
      <c r="C107" s="38">
        <v>3107</v>
      </c>
      <c r="D107" s="38">
        <v>135</v>
      </c>
      <c r="E107" s="38">
        <v>2972</v>
      </c>
      <c r="F107" s="38">
        <v>2613</v>
      </c>
      <c r="G107" s="39">
        <f>IF(E107=0,"N/A",F107/E107)</f>
        <v>0.87920592193808877</v>
      </c>
    </row>
    <row r="108" spans="1:7" ht="15" customHeight="1" x14ac:dyDescent="0.25">
      <c r="A108" s="36">
        <v>2025</v>
      </c>
      <c r="B108" s="36" t="s">
        <v>358</v>
      </c>
      <c r="C108" s="36" t="s">
        <v>126</v>
      </c>
      <c r="D108" s="36" t="s">
        <v>126</v>
      </c>
      <c r="E108" s="36" t="s">
        <v>126</v>
      </c>
      <c r="F108" s="36" t="s">
        <v>126</v>
      </c>
      <c r="G108" s="36" t="s">
        <v>126</v>
      </c>
    </row>
    <row r="109" spans="1:7" ht="15" customHeight="1" x14ac:dyDescent="0.25">
      <c r="A109" s="38">
        <v>2026</v>
      </c>
      <c r="B109" s="38" t="s">
        <v>358</v>
      </c>
      <c r="C109" s="38">
        <v>11</v>
      </c>
      <c r="D109" s="38">
        <v>0</v>
      </c>
      <c r="E109" s="38">
        <v>11</v>
      </c>
      <c r="F109" s="38">
        <v>11</v>
      </c>
      <c r="G109" s="39">
        <f t="shared" ref="G109:G117" si="3">IF(E109=0,"N/A",F109/E109)</f>
        <v>1</v>
      </c>
    </row>
    <row r="110" spans="1:7" ht="15" customHeight="1" x14ac:dyDescent="0.25">
      <c r="A110" s="36">
        <v>2025</v>
      </c>
      <c r="B110" s="36" t="s">
        <v>359</v>
      </c>
      <c r="C110" s="36">
        <v>174195</v>
      </c>
      <c r="D110" s="36">
        <v>3980</v>
      </c>
      <c r="E110" s="36">
        <v>170215</v>
      </c>
      <c r="F110" s="36">
        <v>164643</v>
      </c>
      <c r="G110" s="37">
        <f t="shared" si="3"/>
        <v>0.96726492964779842</v>
      </c>
    </row>
    <row r="111" spans="1:7" ht="15" customHeight="1" x14ac:dyDescent="0.25">
      <c r="A111" s="38">
        <v>2026</v>
      </c>
      <c r="B111" s="38" t="s">
        <v>359</v>
      </c>
      <c r="C111" s="38">
        <v>168705</v>
      </c>
      <c r="D111" s="38">
        <v>4018</v>
      </c>
      <c r="E111" s="38">
        <v>164687</v>
      </c>
      <c r="F111" s="38">
        <v>158085</v>
      </c>
      <c r="G111" s="39">
        <f t="shared" si="3"/>
        <v>0.95991183274939729</v>
      </c>
    </row>
    <row r="112" spans="1:7" ht="15" customHeight="1" x14ac:dyDescent="0.25">
      <c r="A112" s="36">
        <v>2025</v>
      </c>
      <c r="B112" s="36" t="s">
        <v>360</v>
      </c>
      <c r="C112" s="36">
        <v>135</v>
      </c>
      <c r="D112" s="36">
        <v>2</v>
      </c>
      <c r="E112" s="36">
        <v>133</v>
      </c>
      <c r="F112" s="36">
        <v>133</v>
      </c>
      <c r="G112" s="37">
        <f t="shared" si="3"/>
        <v>1</v>
      </c>
    </row>
    <row r="113" spans="1:7" ht="15" customHeight="1" x14ac:dyDescent="0.25">
      <c r="A113" s="38">
        <v>2026</v>
      </c>
      <c r="B113" s="38" t="s">
        <v>360</v>
      </c>
      <c r="C113" s="38">
        <v>122</v>
      </c>
      <c r="D113" s="38">
        <v>5</v>
      </c>
      <c r="E113" s="38">
        <v>117</v>
      </c>
      <c r="F113" s="38">
        <v>117</v>
      </c>
      <c r="G113" s="39">
        <f t="shared" si="3"/>
        <v>1</v>
      </c>
    </row>
    <row r="114" spans="1:7" ht="15" customHeight="1" x14ac:dyDescent="0.25">
      <c r="A114" s="36">
        <v>2025</v>
      </c>
      <c r="B114" s="36" t="s">
        <v>191</v>
      </c>
      <c r="C114" s="36">
        <v>178019</v>
      </c>
      <c r="D114" s="36">
        <v>4239</v>
      </c>
      <c r="E114" s="36">
        <v>173780</v>
      </c>
      <c r="F114" s="36">
        <v>160283</v>
      </c>
      <c r="G114" s="37">
        <f t="shared" si="3"/>
        <v>0.92233283461848314</v>
      </c>
    </row>
    <row r="115" spans="1:7" ht="15" customHeight="1" x14ac:dyDescent="0.25">
      <c r="A115" s="38">
        <v>2026</v>
      </c>
      <c r="B115" s="38" t="s">
        <v>191</v>
      </c>
      <c r="C115" s="38">
        <v>172078</v>
      </c>
      <c r="D115" s="38">
        <v>4218</v>
      </c>
      <c r="E115" s="38">
        <v>167860</v>
      </c>
      <c r="F115" s="38">
        <v>159985</v>
      </c>
      <c r="G115" s="39">
        <f t="shared" si="3"/>
        <v>0.95308590492076728</v>
      </c>
    </row>
    <row r="116" spans="1:7" ht="15" customHeight="1" x14ac:dyDescent="0.25">
      <c r="A116" s="36">
        <v>2025</v>
      </c>
      <c r="B116" s="36" t="s">
        <v>361</v>
      </c>
      <c r="C116" s="36">
        <v>135</v>
      </c>
      <c r="D116" s="36">
        <v>1</v>
      </c>
      <c r="E116" s="36">
        <v>134</v>
      </c>
      <c r="F116" s="36">
        <v>134</v>
      </c>
      <c r="G116" s="37">
        <f t="shared" si="3"/>
        <v>1</v>
      </c>
    </row>
    <row r="117" spans="1:7" ht="15" customHeight="1" x14ac:dyDescent="0.25">
      <c r="A117" s="38">
        <v>2026</v>
      </c>
      <c r="B117" s="38" t="s">
        <v>361</v>
      </c>
      <c r="C117" s="38">
        <v>122</v>
      </c>
      <c r="D117" s="38">
        <v>5</v>
      </c>
      <c r="E117" s="38">
        <v>117</v>
      </c>
      <c r="F117" s="38">
        <v>117</v>
      </c>
      <c r="G117" s="39">
        <f t="shared" si="3"/>
        <v>1</v>
      </c>
    </row>
  </sheetData>
  <autoFilter ref="A1:G117" xr:uid="{00000000-0009-0000-0000-000011000000}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2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46" customWidth="1"/>
    <col min="3" max="3" width="12" customWidth="1"/>
    <col min="4" max="4" width="10" customWidth="1"/>
    <col min="5" max="5" width="12" customWidth="1"/>
  </cols>
  <sheetData>
    <row r="1" spans="1:7" ht="15" customHeight="1" x14ac:dyDescent="0.25">
      <c r="A1" s="35" t="s">
        <v>121</v>
      </c>
      <c r="B1" s="35" t="s">
        <v>145</v>
      </c>
      <c r="C1" s="35" t="s">
        <v>323</v>
      </c>
      <c r="D1" s="35" t="s">
        <v>196</v>
      </c>
      <c r="E1" s="35" t="s">
        <v>122</v>
      </c>
      <c r="F1" s="35" t="s">
        <v>123</v>
      </c>
      <c r="G1" s="35" t="s">
        <v>132</v>
      </c>
    </row>
    <row r="2" spans="1:7" ht="15" customHeight="1" x14ac:dyDescent="0.25">
      <c r="A2" s="36">
        <v>2025</v>
      </c>
      <c r="B2" s="36" t="s">
        <v>318</v>
      </c>
      <c r="C2" s="36" t="s">
        <v>126</v>
      </c>
      <c r="D2" s="36" t="s">
        <v>126</v>
      </c>
      <c r="E2" s="36" t="s">
        <v>126</v>
      </c>
      <c r="F2" s="36" t="s">
        <v>126</v>
      </c>
      <c r="G2" s="36" t="s">
        <v>126</v>
      </c>
    </row>
    <row r="3" spans="1:7" ht="15" customHeight="1" x14ac:dyDescent="0.25">
      <c r="A3" s="38">
        <v>2026</v>
      </c>
      <c r="B3" s="38" t="s">
        <v>318</v>
      </c>
      <c r="C3" s="38">
        <v>3</v>
      </c>
      <c r="D3" s="38">
        <v>0</v>
      </c>
      <c r="E3" s="38">
        <v>3</v>
      </c>
      <c r="F3" s="38">
        <v>2</v>
      </c>
      <c r="G3" s="39">
        <f t="shared" ref="G3:G15" si="0">IF(E3=0,"N/A",F3/E3)</f>
        <v>0.66666666666666663</v>
      </c>
    </row>
    <row r="4" spans="1:7" ht="15" customHeight="1" x14ac:dyDescent="0.25">
      <c r="A4" s="36">
        <v>2025</v>
      </c>
      <c r="B4" s="36" t="s">
        <v>362</v>
      </c>
      <c r="C4" s="36">
        <v>9</v>
      </c>
      <c r="D4" s="36">
        <v>1</v>
      </c>
      <c r="E4" s="36">
        <v>8</v>
      </c>
      <c r="F4" s="36">
        <v>8</v>
      </c>
      <c r="G4" s="37">
        <f t="shared" si="0"/>
        <v>1</v>
      </c>
    </row>
    <row r="5" spans="1:7" ht="15" customHeight="1" x14ac:dyDescent="0.25">
      <c r="A5" s="38">
        <v>2026</v>
      </c>
      <c r="B5" s="38" t="s">
        <v>362</v>
      </c>
      <c r="C5" s="38">
        <v>14</v>
      </c>
      <c r="D5" s="38">
        <v>2</v>
      </c>
      <c r="E5" s="38">
        <v>12</v>
      </c>
      <c r="F5" s="38">
        <v>11</v>
      </c>
      <c r="G5" s="39">
        <f t="shared" si="0"/>
        <v>0.91666666666666663</v>
      </c>
    </row>
    <row r="6" spans="1:7" ht="15" customHeight="1" x14ac:dyDescent="0.25">
      <c r="A6" s="36">
        <v>2025</v>
      </c>
      <c r="B6" s="36" t="s">
        <v>363</v>
      </c>
      <c r="C6" s="36">
        <v>9</v>
      </c>
      <c r="D6" s="36">
        <v>1</v>
      </c>
      <c r="E6" s="36">
        <v>8</v>
      </c>
      <c r="F6" s="36">
        <v>7</v>
      </c>
      <c r="G6" s="37">
        <f t="shared" si="0"/>
        <v>0.875</v>
      </c>
    </row>
    <row r="7" spans="1:7" ht="15" customHeight="1" x14ac:dyDescent="0.25">
      <c r="A7" s="38">
        <v>2026</v>
      </c>
      <c r="B7" s="38" t="s">
        <v>363</v>
      </c>
      <c r="C7" s="38">
        <v>14</v>
      </c>
      <c r="D7" s="38">
        <v>2</v>
      </c>
      <c r="E7" s="38">
        <v>12</v>
      </c>
      <c r="F7" s="38">
        <v>11</v>
      </c>
      <c r="G7" s="39">
        <f t="shared" si="0"/>
        <v>0.91666666666666663</v>
      </c>
    </row>
    <row r="8" spans="1:7" ht="15" customHeight="1" x14ac:dyDescent="0.25">
      <c r="A8" s="36">
        <v>2025</v>
      </c>
      <c r="B8" s="36" t="s">
        <v>147</v>
      </c>
      <c r="C8" s="36">
        <v>741</v>
      </c>
      <c r="D8" s="36">
        <v>48</v>
      </c>
      <c r="E8" s="36">
        <v>693</v>
      </c>
      <c r="F8" s="36">
        <v>557</v>
      </c>
      <c r="G8" s="37">
        <f t="shared" si="0"/>
        <v>0.80375180375180377</v>
      </c>
    </row>
    <row r="9" spans="1:7" ht="15" customHeight="1" x14ac:dyDescent="0.25">
      <c r="A9" s="38">
        <v>2026</v>
      </c>
      <c r="B9" s="38" t="s">
        <v>147</v>
      </c>
      <c r="C9" s="38">
        <v>661</v>
      </c>
      <c r="D9" s="38">
        <v>53</v>
      </c>
      <c r="E9" s="38">
        <v>608</v>
      </c>
      <c r="F9" s="38">
        <v>522</v>
      </c>
      <c r="G9" s="39">
        <f t="shared" si="0"/>
        <v>0.85855263157894735</v>
      </c>
    </row>
    <row r="10" spans="1:7" ht="15" customHeight="1" x14ac:dyDescent="0.25">
      <c r="A10" s="36">
        <v>2025</v>
      </c>
      <c r="B10" s="36" t="s">
        <v>324</v>
      </c>
      <c r="C10" s="36">
        <v>11</v>
      </c>
      <c r="D10" s="36">
        <v>0</v>
      </c>
      <c r="E10" s="36">
        <v>11</v>
      </c>
      <c r="F10" s="36">
        <v>11</v>
      </c>
      <c r="G10" s="37">
        <f t="shared" si="0"/>
        <v>1</v>
      </c>
    </row>
    <row r="11" spans="1:7" ht="15" customHeight="1" x14ac:dyDescent="0.25">
      <c r="A11" s="38">
        <v>2026</v>
      </c>
      <c r="B11" s="38" t="s">
        <v>324</v>
      </c>
      <c r="C11" s="38">
        <v>26</v>
      </c>
      <c r="D11" s="38">
        <v>1</v>
      </c>
      <c r="E11" s="38">
        <v>25</v>
      </c>
      <c r="F11" s="38">
        <v>25</v>
      </c>
      <c r="G11" s="39">
        <f t="shared" si="0"/>
        <v>1</v>
      </c>
    </row>
    <row r="12" spans="1:7" ht="15" customHeight="1" x14ac:dyDescent="0.25">
      <c r="A12" s="36">
        <v>2025</v>
      </c>
      <c r="B12" s="36" t="s">
        <v>149</v>
      </c>
      <c r="C12" s="36">
        <v>10</v>
      </c>
      <c r="D12" s="36">
        <v>2</v>
      </c>
      <c r="E12" s="36">
        <v>8</v>
      </c>
      <c r="F12" s="36">
        <v>2</v>
      </c>
      <c r="G12" s="37">
        <f t="shared" si="0"/>
        <v>0.25</v>
      </c>
    </row>
    <row r="13" spans="1:7" ht="15" customHeight="1" x14ac:dyDescent="0.25">
      <c r="A13" s="38">
        <v>2026</v>
      </c>
      <c r="B13" s="38" t="s">
        <v>149</v>
      </c>
      <c r="C13" s="38">
        <v>5</v>
      </c>
      <c r="D13" s="38">
        <v>0</v>
      </c>
      <c r="E13" s="38">
        <v>5</v>
      </c>
      <c r="F13" s="38">
        <v>3</v>
      </c>
      <c r="G13" s="39">
        <f t="shared" si="0"/>
        <v>0.6</v>
      </c>
    </row>
    <row r="14" spans="1:7" ht="15" customHeight="1" x14ac:dyDescent="0.25">
      <c r="A14" s="36">
        <v>2025</v>
      </c>
      <c r="B14" s="36" t="s">
        <v>151</v>
      </c>
      <c r="C14" s="36">
        <v>10667</v>
      </c>
      <c r="D14" s="36">
        <v>302</v>
      </c>
      <c r="E14" s="36">
        <v>10365</v>
      </c>
      <c r="F14" s="36">
        <v>7137</v>
      </c>
      <c r="G14" s="37">
        <f t="shared" si="0"/>
        <v>0.68856729377713455</v>
      </c>
    </row>
    <row r="15" spans="1:7" ht="15" customHeight="1" x14ac:dyDescent="0.25">
      <c r="A15" s="38">
        <v>2026</v>
      </c>
      <c r="B15" s="38" t="s">
        <v>151</v>
      </c>
      <c r="C15" s="38">
        <v>9768</v>
      </c>
      <c r="D15" s="38">
        <v>380</v>
      </c>
      <c r="E15" s="38">
        <v>9388</v>
      </c>
      <c r="F15" s="38">
        <v>6192</v>
      </c>
      <c r="G15" s="39">
        <f t="shared" si="0"/>
        <v>0.65956540264167018</v>
      </c>
    </row>
    <row r="16" spans="1:7" ht="15" customHeight="1" x14ac:dyDescent="0.25">
      <c r="A16" s="36">
        <v>2025</v>
      </c>
      <c r="B16" s="36" t="s">
        <v>325</v>
      </c>
      <c r="C16" s="36" t="s">
        <v>126</v>
      </c>
      <c r="D16" s="36" t="s">
        <v>126</v>
      </c>
      <c r="E16" s="36" t="s">
        <v>126</v>
      </c>
      <c r="F16" s="36" t="s">
        <v>126</v>
      </c>
      <c r="G16" s="36" t="s">
        <v>126</v>
      </c>
    </row>
    <row r="17" spans="1:7" ht="15" customHeight="1" x14ac:dyDescent="0.25">
      <c r="A17" s="38">
        <v>2026</v>
      </c>
      <c r="B17" s="38" t="s">
        <v>325</v>
      </c>
      <c r="C17" s="38">
        <v>18</v>
      </c>
      <c r="D17" s="38">
        <v>1</v>
      </c>
      <c r="E17" s="38">
        <v>17</v>
      </c>
      <c r="F17" s="38">
        <v>11</v>
      </c>
      <c r="G17" s="39">
        <f>IF(E17=0,"N/A",F17/E17)</f>
        <v>0.6470588235294118</v>
      </c>
    </row>
    <row r="18" spans="1:7" ht="15" customHeight="1" x14ac:dyDescent="0.25">
      <c r="A18" s="36">
        <v>2025</v>
      </c>
      <c r="B18" s="36" t="s">
        <v>153</v>
      </c>
      <c r="C18" s="36">
        <v>21777</v>
      </c>
      <c r="D18" s="36">
        <v>763</v>
      </c>
      <c r="E18" s="36">
        <v>21014</v>
      </c>
      <c r="F18" s="36">
        <v>11992</v>
      </c>
      <c r="G18" s="37">
        <f>IF(E18=0,"N/A",F18/E18)</f>
        <v>0.57066717426477587</v>
      </c>
    </row>
    <row r="19" spans="1:7" ht="15" customHeight="1" x14ac:dyDescent="0.25">
      <c r="A19" s="38">
        <v>2026</v>
      </c>
      <c r="B19" s="38" t="s">
        <v>153</v>
      </c>
      <c r="C19" s="38">
        <v>19639</v>
      </c>
      <c r="D19" s="38">
        <v>833</v>
      </c>
      <c r="E19" s="38">
        <v>18806</v>
      </c>
      <c r="F19" s="38">
        <v>13614</v>
      </c>
      <c r="G19" s="39">
        <f>IF(E19=0,"N/A",F19/E19)</f>
        <v>0.72391789854301813</v>
      </c>
    </row>
    <row r="20" spans="1:7" ht="15" customHeight="1" x14ac:dyDescent="0.25">
      <c r="A20" s="36">
        <v>2025</v>
      </c>
      <c r="B20" s="36" t="s">
        <v>326</v>
      </c>
      <c r="C20" s="36" t="s">
        <v>126</v>
      </c>
      <c r="D20" s="36" t="s">
        <v>126</v>
      </c>
      <c r="E20" s="36" t="s">
        <v>126</v>
      </c>
      <c r="F20" s="36" t="s">
        <v>126</v>
      </c>
      <c r="G20" s="36" t="s">
        <v>126</v>
      </c>
    </row>
    <row r="21" spans="1:7" ht="15" customHeight="1" x14ac:dyDescent="0.25">
      <c r="A21" s="38">
        <v>2026</v>
      </c>
      <c r="B21" s="38" t="s">
        <v>326</v>
      </c>
      <c r="C21" s="38">
        <v>184</v>
      </c>
      <c r="D21" s="38">
        <v>17</v>
      </c>
      <c r="E21" s="38">
        <v>167</v>
      </c>
      <c r="F21" s="38">
        <v>46</v>
      </c>
      <c r="G21" s="39">
        <f>IF(E21=0,"N/A",F21/E21)</f>
        <v>0.27544910179640719</v>
      </c>
    </row>
    <row r="22" spans="1:7" ht="15" customHeight="1" x14ac:dyDescent="0.25">
      <c r="A22" s="36">
        <v>2025</v>
      </c>
      <c r="B22" s="36" t="s">
        <v>155</v>
      </c>
      <c r="C22" s="36">
        <v>537</v>
      </c>
      <c r="D22" s="36">
        <v>46</v>
      </c>
      <c r="E22" s="36">
        <v>491</v>
      </c>
      <c r="F22" s="36">
        <v>289</v>
      </c>
      <c r="G22" s="37">
        <f>IF(E22=0,"N/A",F22/E22)</f>
        <v>0.58859470468431774</v>
      </c>
    </row>
    <row r="23" spans="1:7" ht="15" customHeight="1" x14ac:dyDescent="0.25">
      <c r="A23" s="38">
        <v>2026</v>
      </c>
      <c r="B23" s="38" t="s">
        <v>155</v>
      </c>
      <c r="C23" s="38">
        <v>651</v>
      </c>
      <c r="D23" s="38">
        <v>49</v>
      </c>
      <c r="E23" s="38">
        <v>602</v>
      </c>
      <c r="F23" s="38">
        <v>453</v>
      </c>
      <c r="G23" s="39">
        <f>IF(E23=0,"N/A",F23/E23)</f>
        <v>0.75249169435215946</v>
      </c>
    </row>
    <row r="24" spans="1:7" ht="15" customHeight="1" x14ac:dyDescent="0.25">
      <c r="A24" s="36">
        <v>2025</v>
      </c>
      <c r="B24" s="36" t="s">
        <v>327</v>
      </c>
      <c r="C24" s="36">
        <v>13</v>
      </c>
      <c r="D24" s="36">
        <v>1</v>
      </c>
      <c r="E24" s="36">
        <v>12</v>
      </c>
      <c r="F24" s="36">
        <v>4</v>
      </c>
      <c r="G24" s="37">
        <f>IF(E24=0,"N/A",F24/E24)</f>
        <v>0.33333333333333331</v>
      </c>
    </row>
    <row r="25" spans="1:7" ht="15" customHeight="1" x14ac:dyDescent="0.25">
      <c r="A25" s="38">
        <v>2026</v>
      </c>
      <c r="B25" s="38" t="s">
        <v>327</v>
      </c>
      <c r="C25" s="38">
        <v>10</v>
      </c>
      <c r="D25" s="38">
        <v>0</v>
      </c>
      <c r="E25" s="38">
        <v>10</v>
      </c>
      <c r="F25" s="38">
        <v>10</v>
      </c>
      <c r="G25" s="39">
        <f>IF(E25=0,"N/A",F25/E25)</f>
        <v>1</v>
      </c>
    </row>
    <row r="26" spans="1:7" ht="15" customHeight="1" x14ac:dyDescent="0.25">
      <c r="A26" s="36">
        <v>2025</v>
      </c>
      <c r="B26" s="36" t="s">
        <v>328</v>
      </c>
      <c r="C26" s="36" t="s">
        <v>126</v>
      </c>
      <c r="D26" s="36" t="s">
        <v>126</v>
      </c>
      <c r="E26" s="36" t="s">
        <v>126</v>
      </c>
      <c r="F26" s="36" t="s">
        <v>126</v>
      </c>
      <c r="G26" s="36" t="s">
        <v>126</v>
      </c>
    </row>
    <row r="27" spans="1:7" ht="15" customHeight="1" x14ac:dyDescent="0.25">
      <c r="A27" s="38">
        <v>2026</v>
      </c>
      <c r="B27" s="38" t="s">
        <v>328</v>
      </c>
      <c r="C27" s="38">
        <v>26</v>
      </c>
      <c r="D27" s="38">
        <v>0</v>
      </c>
      <c r="E27" s="38">
        <v>26</v>
      </c>
      <c r="F27" s="38">
        <v>22</v>
      </c>
      <c r="G27" s="39">
        <f>IF(E27=0,"N/A",F27/E27)</f>
        <v>0.84615384615384615</v>
      </c>
    </row>
    <row r="28" spans="1:7" ht="15" customHeight="1" x14ac:dyDescent="0.25">
      <c r="A28" s="36">
        <v>2025</v>
      </c>
      <c r="B28" s="36" t="s">
        <v>329</v>
      </c>
      <c r="C28" s="36">
        <v>6</v>
      </c>
      <c r="D28" s="36">
        <v>0</v>
      </c>
      <c r="E28" s="36">
        <v>6</v>
      </c>
      <c r="F28" s="36">
        <v>3</v>
      </c>
      <c r="G28" s="37">
        <f>IF(E28=0,"N/A",F28/E28)</f>
        <v>0.5</v>
      </c>
    </row>
    <row r="29" spans="1:7" ht="15" customHeight="1" x14ac:dyDescent="0.25">
      <c r="A29" s="38">
        <v>2026</v>
      </c>
      <c r="B29" s="38" t="s">
        <v>329</v>
      </c>
      <c r="C29" s="38">
        <v>2</v>
      </c>
      <c r="D29" s="38">
        <v>1</v>
      </c>
      <c r="E29" s="38">
        <v>1</v>
      </c>
      <c r="F29" s="38">
        <v>0</v>
      </c>
      <c r="G29" s="39">
        <f>IF(E29=0,"N/A",F29/E29)</f>
        <v>0</v>
      </c>
    </row>
    <row r="30" spans="1:7" ht="15" customHeight="1" x14ac:dyDescent="0.25">
      <c r="A30" s="36">
        <v>2025</v>
      </c>
      <c r="B30" s="36" t="s">
        <v>157</v>
      </c>
      <c r="C30" s="36">
        <v>13347</v>
      </c>
      <c r="D30" s="36">
        <v>481</v>
      </c>
      <c r="E30" s="36">
        <v>12866</v>
      </c>
      <c r="F30" s="36">
        <v>9292</v>
      </c>
      <c r="G30" s="37">
        <f>IF(E30=0,"N/A",F30/E30)</f>
        <v>0.72221358619617593</v>
      </c>
    </row>
    <row r="31" spans="1:7" ht="15" customHeight="1" x14ac:dyDescent="0.25">
      <c r="A31" s="38">
        <v>2026</v>
      </c>
      <c r="B31" s="38" t="s">
        <v>157</v>
      </c>
      <c r="C31" s="38" t="s">
        <v>126</v>
      </c>
      <c r="D31" s="38" t="s">
        <v>126</v>
      </c>
      <c r="E31" s="38" t="s">
        <v>126</v>
      </c>
      <c r="F31" s="38" t="s">
        <v>126</v>
      </c>
      <c r="G31" s="38" t="s">
        <v>126</v>
      </c>
    </row>
    <row r="32" spans="1:7" ht="15" customHeight="1" x14ac:dyDescent="0.25">
      <c r="A32" s="36">
        <v>2025</v>
      </c>
      <c r="B32" s="36" t="s">
        <v>330</v>
      </c>
      <c r="C32" s="36" t="s">
        <v>126</v>
      </c>
      <c r="D32" s="36" t="s">
        <v>126</v>
      </c>
      <c r="E32" s="36" t="s">
        <v>126</v>
      </c>
      <c r="F32" s="36" t="s">
        <v>126</v>
      </c>
      <c r="G32" s="36" t="s">
        <v>126</v>
      </c>
    </row>
    <row r="33" spans="1:7" ht="15" customHeight="1" x14ac:dyDescent="0.25">
      <c r="A33" s="38">
        <v>2026</v>
      </c>
      <c r="B33" s="38" t="s">
        <v>330</v>
      </c>
      <c r="C33" s="38">
        <v>11403</v>
      </c>
      <c r="D33" s="38">
        <v>595</v>
      </c>
      <c r="E33" s="38">
        <v>10808</v>
      </c>
      <c r="F33" s="38">
        <v>7738</v>
      </c>
      <c r="G33" s="39">
        <f>IF(E33=0,"N/A",F33/E33)</f>
        <v>0.71595114729829756</v>
      </c>
    </row>
    <row r="34" spans="1:7" ht="15" customHeight="1" x14ac:dyDescent="0.25">
      <c r="A34" s="36">
        <v>2025</v>
      </c>
      <c r="B34" s="36" t="s">
        <v>331</v>
      </c>
      <c r="C34" s="36" t="s">
        <v>126</v>
      </c>
      <c r="D34" s="36" t="s">
        <v>126</v>
      </c>
      <c r="E34" s="36" t="s">
        <v>126</v>
      </c>
      <c r="F34" s="36" t="s">
        <v>126</v>
      </c>
      <c r="G34" s="36" t="s">
        <v>126</v>
      </c>
    </row>
    <row r="35" spans="1:7" ht="15" customHeight="1" x14ac:dyDescent="0.25">
      <c r="A35" s="38">
        <v>2026</v>
      </c>
      <c r="B35" s="38" t="s">
        <v>331</v>
      </c>
      <c r="C35" s="38">
        <v>192</v>
      </c>
      <c r="D35" s="38">
        <v>18</v>
      </c>
      <c r="E35" s="38">
        <v>174</v>
      </c>
      <c r="F35" s="38">
        <v>127</v>
      </c>
      <c r="G35" s="39">
        <f t="shared" ref="G35:G50" si="1">IF(E35=0,"N/A",F35/E35)</f>
        <v>0.72988505747126442</v>
      </c>
    </row>
    <row r="36" spans="1:7" ht="15" customHeight="1" x14ac:dyDescent="0.25">
      <c r="A36" s="36">
        <v>2025</v>
      </c>
      <c r="B36" s="36" t="s">
        <v>332</v>
      </c>
      <c r="C36" s="36">
        <v>10</v>
      </c>
      <c r="D36" s="36">
        <v>0</v>
      </c>
      <c r="E36" s="36">
        <v>10</v>
      </c>
      <c r="F36" s="36">
        <v>10</v>
      </c>
      <c r="G36" s="37">
        <f t="shared" si="1"/>
        <v>1</v>
      </c>
    </row>
    <row r="37" spans="1:7" ht="15" customHeight="1" x14ac:dyDescent="0.25">
      <c r="A37" s="38">
        <v>2026</v>
      </c>
      <c r="B37" s="38" t="s">
        <v>332</v>
      </c>
      <c r="C37" s="38">
        <v>26</v>
      </c>
      <c r="D37" s="38">
        <v>1</v>
      </c>
      <c r="E37" s="38">
        <v>25</v>
      </c>
      <c r="F37" s="38">
        <v>25</v>
      </c>
      <c r="G37" s="39">
        <f t="shared" si="1"/>
        <v>1</v>
      </c>
    </row>
    <row r="38" spans="1:7" ht="15" customHeight="1" x14ac:dyDescent="0.25">
      <c r="A38" s="36">
        <v>2025</v>
      </c>
      <c r="B38" s="36" t="s">
        <v>333</v>
      </c>
      <c r="C38" s="36">
        <v>10</v>
      </c>
      <c r="D38" s="36">
        <v>0</v>
      </c>
      <c r="E38" s="36">
        <v>10</v>
      </c>
      <c r="F38" s="36">
        <v>10</v>
      </c>
      <c r="G38" s="37">
        <f t="shared" si="1"/>
        <v>1</v>
      </c>
    </row>
    <row r="39" spans="1:7" ht="15" customHeight="1" x14ac:dyDescent="0.25">
      <c r="A39" s="38">
        <v>2026</v>
      </c>
      <c r="B39" s="38" t="s">
        <v>333</v>
      </c>
      <c r="C39" s="38">
        <v>25</v>
      </c>
      <c r="D39" s="38">
        <v>1</v>
      </c>
      <c r="E39" s="38">
        <v>24</v>
      </c>
      <c r="F39" s="38">
        <v>24</v>
      </c>
      <c r="G39" s="39">
        <f t="shared" si="1"/>
        <v>1</v>
      </c>
    </row>
    <row r="40" spans="1:7" ht="15" customHeight="1" x14ac:dyDescent="0.25">
      <c r="A40" s="36">
        <v>2025</v>
      </c>
      <c r="B40" s="36" t="s">
        <v>334</v>
      </c>
      <c r="C40" s="36">
        <v>24</v>
      </c>
      <c r="D40" s="36">
        <v>1</v>
      </c>
      <c r="E40" s="36">
        <v>23</v>
      </c>
      <c r="F40" s="36">
        <v>16</v>
      </c>
      <c r="G40" s="37">
        <f t="shared" si="1"/>
        <v>0.69565217391304346</v>
      </c>
    </row>
    <row r="41" spans="1:7" ht="15" customHeight="1" x14ac:dyDescent="0.25">
      <c r="A41" s="38">
        <v>2026</v>
      </c>
      <c r="B41" s="38" t="s">
        <v>334</v>
      </c>
      <c r="C41" s="38">
        <v>24</v>
      </c>
      <c r="D41" s="38">
        <v>9</v>
      </c>
      <c r="E41" s="38">
        <v>15</v>
      </c>
      <c r="F41" s="38">
        <v>14</v>
      </c>
      <c r="G41" s="39">
        <f t="shared" si="1"/>
        <v>0.93333333333333335</v>
      </c>
    </row>
    <row r="42" spans="1:7" ht="15" customHeight="1" x14ac:dyDescent="0.25">
      <c r="A42" s="36">
        <v>2025</v>
      </c>
      <c r="B42" s="36" t="s">
        <v>161</v>
      </c>
      <c r="C42" s="36">
        <v>105</v>
      </c>
      <c r="D42" s="36">
        <v>6</v>
      </c>
      <c r="E42" s="36">
        <v>99</v>
      </c>
      <c r="F42" s="36">
        <v>58</v>
      </c>
      <c r="G42" s="37">
        <f t="shared" si="1"/>
        <v>0.58585858585858586</v>
      </c>
    </row>
    <row r="43" spans="1:7" ht="15" customHeight="1" x14ac:dyDescent="0.25">
      <c r="A43" s="38">
        <v>2026</v>
      </c>
      <c r="B43" s="38" t="s">
        <v>161</v>
      </c>
      <c r="C43" s="38">
        <v>88</v>
      </c>
      <c r="D43" s="38">
        <v>10</v>
      </c>
      <c r="E43" s="38">
        <v>78</v>
      </c>
      <c r="F43" s="38">
        <v>37</v>
      </c>
      <c r="G43" s="39">
        <f t="shared" si="1"/>
        <v>0.47435897435897434</v>
      </c>
    </row>
    <row r="44" spans="1:7" ht="15" customHeight="1" x14ac:dyDescent="0.25">
      <c r="A44" s="36">
        <v>2025</v>
      </c>
      <c r="B44" s="36" t="s">
        <v>335</v>
      </c>
      <c r="C44" s="36">
        <v>3964</v>
      </c>
      <c r="D44" s="36">
        <v>255</v>
      </c>
      <c r="E44" s="36">
        <v>3709</v>
      </c>
      <c r="F44" s="36">
        <v>3276</v>
      </c>
      <c r="G44" s="37">
        <f t="shared" si="1"/>
        <v>0.88325694257212184</v>
      </c>
    </row>
    <row r="45" spans="1:7" ht="15" customHeight="1" x14ac:dyDescent="0.25">
      <c r="A45" s="38">
        <v>2026</v>
      </c>
      <c r="B45" s="38" t="s">
        <v>335</v>
      </c>
      <c r="C45" s="38">
        <v>4331</v>
      </c>
      <c r="D45" s="38">
        <v>308</v>
      </c>
      <c r="E45" s="38">
        <v>4023</v>
      </c>
      <c r="F45" s="38">
        <v>3498</v>
      </c>
      <c r="G45" s="39">
        <f t="shared" si="1"/>
        <v>0.86950037285607751</v>
      </c>
    </row>
    <row r="46" spans="1:7" ht="15" customHeight="1" x14ac:dyDescent="0.25">
      <c r="A46" s="36">
        <v>2025</v>
      </c>
      <c r="B46" s="36" t="s">
        <v>336</v>
      </c>
      <c r="C46" s="36">
        <v>21</v>
      </c>
      <c r="D46" s="36">
        <v>2</v>
      </c>
      <c r="E46" s="36">
        <v>19</v>
      </c>
      <c r="F46" s="36">
        <v>5</v>
      </c>
      <c r="G46" s="37">
        <f t="shared" si="1"/>
        <v>0.26315789473684209</v>
      </c>
    </row>
    <row r="47" spans="1:7" ht="15" customHeight="1" x14ac:dyDescent="0.25">
      <c r="A47" s="38">
        <v>2026</v>
      </c>
      <c r="B47" s="38" t="s">
        <v>336</v>
      </c>
      <c r="C47" s="38">
        <v>29</v>
      </c>
      <c r="D47" s="38">
        <v>3</v>
      </c>
      <c r="E47" s="38">
        <v>26</v>
      </c>
      <c r="F47" s="38">
        <v>17</v>
      </c>
      <c r="G47" s="39">
        <f t="shared" si="1"/>
        <v>0.65384615384615385</v>
      </c>
    </row>
    <row r="48" spans="1:7" ht="15" customHeight="1" x14ac:dyDescent="0.25">
      <c r="A48" s="36">
        <v>2025</v>
      </c>
      <c r="B48" s="36" t="s">
        <v>337</v>
      </c>
      <c r="C48" s="36">
        <v>1236</v>
      </c>
      <c r="D48" s="36">
        <v>60</v>
      </c>
      <c r="E48" s="36">
        <v>1176</v>
      </c>
      <c r="F48" s="36">
        <v>772</v>
      </c>
      <c r="G48" s="37">
        <f t="shared" si="1"/>
        <v>0.65646258503401356</v>
      </c>
    </row>
    <row r="49" spans="1:7" ht="15" customHeight="1" x14ac:dyDescent="0.25">
      <c r="A49" s="38">
        <v>2026</v>
      </c>
      <c r="B49" s="38" t="s">
        <v>337</v>
      </c>
      <c r="C49" s="38">
        <v>966</v>
      </c>
      <c r="D49" s="38">
        <v>59</v>
      </c>
      <c r="E49" s="38">
        <v>907</v>
      </c>
      <c r="F49" s="38">
        <v>638</v>
      </c>
      <c r="G49" s="39">
        <f t="shared" si="1"/>
        <v>0.7034178610804851</v>
      </c>
    </row>
    <row r="50" spans="1:7" ht="15" customHeight="1" x14ac:dyDescent="0.25">
      <c r="A50" s="36">
        <v>2025</v>
      </c>
      <c r="B50" s="36" t="s">
        <v>338</v>
      </c>
      <c r="C50" s="36">
        <v>3</v>
      </c>
      <c r="D50" s="36">
        <v>1</v>
      </c>
      <c r="E50" s="36">
        <v>2</v>
      </c>
      <c r="F50" s="36">
        <v>2</v>
      </c>
      <c r="G50" s="37">
        <f t="shared" si="1"/>
        <v>1</v>
      </c>
    </row>
    <row r="51" spans="1:7" ht="15" customHeight="1" x14ac:dyDescent="0.25">
      <c r="A51" s="38">
        <v>2026</v>
      </c>
      <c r="B51" s="38" t="s">
        <v>338</v>
      </c>
      <c r="C51" s="38" t="s">
        <v>126</v>
      </c>
      <c r="D51" s="38" t="s">
        <v>126</v>
      </c>
      <c r="E51" s="38" t="s">
        <v>126</v>
      </c>
      <c r="F51" s="38" t="s">
        <v>126</v>
      </c>
      <c r="G51" s="38" t="s">
        <v>126</v>
      </c>
    </row>
    <row r="52" spans="1:7" ht="15" customHeight="1" x14ac:dyDescent="0.25">
      <c r="A52" s="36">
        <v>2025</v>
      </c>
      <c r="B52" s="36" t="s">
        <v>163</v>
      </c>
      <c r="C52" s="36">
        <v>31989</v>
      </c>
      <c r="D52" s="36">
        <v>1152</v>
      </c>
      <c r="E52" s="36">
        <v>30837</v>
      </c>
      <c r="F52" s="36">
        <v>20487</v>
      </c>
      <c r="G52" s="37">
        <f>IF(E52=0,"N/A",F52/E52)</f>
        <v>0.6643642377663197</v>
      </c>
    </row>
    <row r="53" spans="1:7" ht="15" customHeight="1" x14ac:dyDescent="0.25">
      <c r="A53" s="38">
        <v>2026</v>
      </c>
      <c r="B53" s="38" t="s">
        <v>163</v>
      </c>
      <c r="C53" s="38">
        <v>29744</v>
      </c>
      <c r="D53" s="38">
        <v>1446</v>
      </c>
      <c r="E53" s="38">
        <v>28298</v>
      </c>
      <c r="F53" s="38">
        <v>20245</v>
      </c>
      <c r="G53" s="39">
        <f>IF(E53=0,"N/A",F53/E53)</f>
        <v>0.71542158456428018</v>
      </c>
    </row>
    <row r="54" spans="1:7" ht="15" customHeight="1" x14ac:dyDescent="0.25">
      <c r="A54" s="36">
        <v>2025</v>
      </c>
      <c r="B54" s="36" t="s">
        <v>339</v>
      </c>
      <c r="C54" s="36">
        <v>11</v>
      </c>
      <c r="D54" s="36">
        <v>0</v>
      </c>
      <c r="E54" s="36">
        <v>11</v>
      </c>
      <c r="F54" s="36">
        <v>11</v>
      </c>
      <c r="G54" s="37">
        <f>IF(E54=0,"N/A",F54/E54)</f>
        <v>1</v>
      </c>
    </row>
    <row r="55" spans="1:7" ht="15" customHeight="1" x14ac:dyDescent="0.25">
      <c r="A55" s="38">
        <v>2026</v>
      </c>
      <c r="B55" s="38" t="s">
        <v>339</v>
      </c>
      <c r="C55" s="38">
        <v>26</v>
      </c>
      <c r="D55" s="38">
        <v>1</v>
      </c>
      <c r="E55" s="38">
        <v>25</v>
      </c>
      <c r="F55" s="38">
        <v>25</v>
      </c>
      <c r="G55" s="39">
        <f>IF(E55=0,"N/A",F55/E55)</f>
        <v>1</v>
      </c>
    </row>
    <row r="56" spans="1:7" ht="15" customHeight="1" x14ac:dyDescent="0.25">
      <c r="A56" s="36">
        <v>2025</v>
      </c>
      <c r="B56" s="36" t="s">
        <v>340</v>
      </c>
      <c r="C56" s="36">
        <v>1</v>
      </c>
      <c r="D56" s="36">
        <v>0</v>
      </c>
      <c r="E56" s="36">
        <v>1</v>
      </c>
      <c r="F56" s="36">
        <v>0</v>
      </c>
      <c r="G56" s="37">
        <f>IF(E56=0,"N/A",F56/E56)</f>
        <v>0</v>
      </c>
    </row>
    <row r="57" spans="1:7" ht="15" customHeight="1" x14ac:dyDescent="0.25">
      <c r="A57" s="38">
        <v>2026</v>
      </c>
      <c r="B57" s="38" t="s">
        <v>340</v>
      </c>
      <c r="C57" s="38" t="s">
        <v>126</v>
      </c>
      <c r="D57" s="38" t="s">
        <v>126</v>
      </c>
      <c r="E57" s="38" t="s">
        <v>126</v>
      </c>
      <c r="F57" s="38" t="s">
        <v>126</v>
      </c>
      <c r="G57" s="38" t="s">
        <v>126</v>
      </c>
    </row>
    <row r="58" spans="1:7" ht="15" customHeight="1" x14ac:dyDescent="0.25">
      <c r="A58" s="36">
        <v>2025</v>
      </c>
      <c r="B58" s="36" t="s">
        <v>341</v>
      </c>
      <c r="C58" s="36">
        <v>42</v>
      </c>
      <c r="D58" s="36">
        <v>5</v>
      </c>
      <c r="E58" s="36">
        <v>37</v>
      </c>
      <c r="F58" s="36">
        <v>11</v>
      </c>
      <c r="G58" s="37">
        <f>IF(E58=0,"N/A",F58/E58)</f>
        <v>0.29729729729729731</v>
      </c>
    </row>
    <row r="59" spans="1:7" ht="15" customHeight="1" x14ac:dyDescent="0.25">
      <c r="A59" s="38">
        <v>2026</v>
      </c>
      <c r="B59" s="38" t="s">
        <v>341</v>
      </c>
      <c r="C59" s="38">
        <v>23</v>
      </c>
      <c r="D59" s="38">
        <v>0</v>
      </c>
      <c r="E59" s="38">
        <v>23</v>
      </c>
      <c r="F59" s="38">
        <v>22</v>
      </c>
      <c r="G59" s="39">
        <f>IF(E59=0,"N/A",F59/E59)</f>
        <v>0.95652173913043481</v>
      </c>
    </row>
    <row r="60" spans="1:7" ht="15" customHeight="1" x14ac:dyDescent="0.25">
      <c r="A60" s="36">
        <v>2025</v>
      </c>
      <c r="B60" s="36" t="s">
        <v>165</v>
      </c>
      <c r="C60" s="36">
        <v>1085</v>
      </c>
      <c r="D60" s="36">
        <v>48</v>
      </c>
      <c r="E60" s="36">
        <v>1037</v>
      </c>
      <c r="F60" s="36">
        <v>812</v>
      </c>
      <c r="G60" s="37">
        <f>IF(E60=0,"N/A",F60/E60)</f>
        <v>0.78302796528447449</v>
      </c>
    </row>
    <row r="61" spans="1:7" ht="15" customHeight="1" x14ac:dyDescent="0.25">
      <c r="A61" s="38">
        <v>2026</v>
      </c>
      <c r="B61" s="38" t="s">
        <v>165</v>
      </c>
      <c r="C61" s="38">
        <v>908</v>
      </c>
      <c r="D61" s="38">
        <v>66</v>
      </c>
      <c r="E61" s="38">
        <v>842</v>
      </c>
      <c r="F61" s="38">
        <v>578</v>
      </c>
      <c r="G61" s="39">
        <f>IF(E61=0,"N/A",F61/E61)</f>
        <v>0.68646080760095007</v>
      </c>
    </row>
    <row r="62" spans="1:7" ht="15" customHeight="1" x14ac:dyDescent="0.25">
      <c r="A62" s="36">
        <v>2025</v>
      </c>
      <c r="B62" s="36" t="s">
        <v>316</v>
      </c>
      <c r="C62" s="36" t="s">
        <v>126</v>
      </c>
      <c r="D62" s="36" t="s">
        <v>126</v>
      </c>
      <c r="E62" s="36" t="s">
        <v>126</v>
      </c>
      <c r="F62" s="36" t="s">
        <v>126</v>
      </c>
      <c r="G62" s="36" t="s">
        <v>126</v>
      </c>
    </row>
    <row r="63" spans="1:7" ht="15" customHeight="1" x14ac:dyDescent="0.25">
      <c r="A63" s="38">
        <v>2026</v>
      </c>
      <c r="B63" s="38" t="s">
        <v>316</v>
      </c>
      <c r="C63" s="38">
        <v>26</v>
      </c>
      <c r="D63" s="38">
        <v>0</v>
      </c>
      <c r="E63" s="38">
        <v>26</v>
      </c>
      <c r="F63" s="38">
        <v>22</v>
      </c>
      <c r="G63" s="39">
        <f>IF(E63=0,"N/A",F63/E63)</f>
        <v>0.84615384615384615</v>
      </c>
    </row>
    <row r="64" spans="1:7" ht="15" customHeight="1" x14ac:dyDescent="0.25">
      <c r="A64" s="36">
        <v>2025</v>
      </c>
      <c r="B64" s="36" t="s">
        <v>342</v>
      </c>
      <c r="C64" s="36">
        <v>74</v>
      </c>
      <c r="D64" s="36">
        <v>3</v>
      </c>
      <c r="E64" s="36">
        <v>71</v>
      </c>
      <c r="F64" s="36">
        <v>51</v>
      </c>
      <c r="G64" s="37">
        <f>IF(E64=0,"N/A",F64/E64)</f>
        <v>0.71830985915492962</v>
      </c>
    </row>
    <row r="65" spans="1:7" ht="15" customHeight="1" x14ac:dyDescent="0.25">
      <c r="A65" s="38">
        <v>2026</v>
      </c>
      <c r="B65" s="38" t="s">
        <v>342</v>
      </c>
      <c r="C65" s="38">
        <v>96</v>
      </c>
      <c r="D65" s="38">
        <v>7</v>
      </c>
      <c r="E65" s="38">
        <v>89</v>
      </c>
      <c r="F65" s="38">
        <v>60</v>
      </c>
      <c r="G65" s="39">
        <f>IF(E65=0,"N/A",F65/E65)</f>
        <v>0.6741573033707865</v>
      </c>
    </row>
    <row r="66" spans="1:7" ht="15" customHeight="1" x14ac:dyDescent="0.25">
      <c r="A66" s="36">
        <v>2025</v>
      </c>
      <c r="B66" s="36" t="s">
        <v>343</v>
      </c>
      <c r="C66" s="36">
        <v>10212</v>
      </c>
      <c r="D66" s="36">
        <v>564</v>
      </c>
      <c r="E66" s="36">
        <v>9648</v>
      </c>
      <c r="F66" s="36">
        <v>7030</v>
      </c>
      <c r="G66" s="37">
        <f>IF(E66=0,"N/A",F66/E66)</f>
        <v>0.72864842454394696</v>
      </c>
    </row>
    <row r="67" spans="1:7" ht="15" customHeight="1" x14ac:dyDescent="0.25">
      <c r="A67" s="38">
        <v>2026</v>
      </c>
      <c r="B67" s="38" t="s">
        <v>343</v>
      </c>
      <c r="C67" s="38" t="s">
        <v>126</v>
      </c>
      <c r="D67" s="38" t="s">
        <v>126</v>
      </c>
      <c r="E67" s="38" t="s">
        <v>126</v>
      </c>
      <c r="F67" s="38" t="s">
        <v>126</v>
      </c>
      <c r="G67" s="38" t="s">
        <v>126</v>
      </c>
    </row>
    <row r="68" spans="1:7" ht="15" customHeight="1" x14ac:dyDescent="0.25">
      <c r="A68" s="36">
        <v>2025</v>
      </c>
      <c r="B68" s="36" t="s">
        <v>169</v>
      </c>
      <c r="C68" s="36">
        <v>10212</v>
      </c>
      <c r="D68" s="36">
        <v>529</v>
      </c>
      <c r="E68" s="36">
        <v>9683</v>
      </c>
      <c r="F68" s="36">
        <v>6522</v>
      </c>
      <c r="G68" s="37">
        <f>IF(E68=0,"N/A",F68/E68)</f>
        <v>0.67355158525250436</v>
      </c>
    </row>
    <row r="69" spans="1:7" ht="15" customHeight="1" x14ac:dyDescent="0.25">
      <c r="A69" s="38">
        <v>2026</v>
      </c>
      <c r="B69" s="38" t="s">
        <v>169</v>
      </c>
      <c r="C69" s="38">
        <v>9895</v>
      </c>
      <c r="D69" s="38">
        <v>661</v>
      </c>
      <c r="E69" s="38">
        <v>9234</v>
      </c>
      <c r="F69" s="38">
        <v>5745</v>
      </c>
      <c r="G69" s="39">
        <f>IF(E69=0,"N/A",F69/E69)</f>
        <v>0.6221572449642625</v>
      </c>
    </row>
    <row r="70" spans="1:7" ht="15" customHeight="1" x14ac:dyDescent="0.25">
      <c r="A70" s="36">
        <v>2025</v>
      </c>
      <c r="B70" s="36" t="s">
        <v>344</v>
      </c>
      <c r="C70" s="36" t="s">
        <v>126</v>
      </c>
      <c r="D70" s="36" t="s">
        <v>126</v>
      </c>
      <c r="E70" s="36" t="s">
        <v>126</v>
      </c>
      <c r="F70" s="36" t="s">
        <v>126</v>
      </c>
      <c r="G70" s="36" t="s">
        <v>126</v>
      </c>
    </row>
    <row r="71" spans="1:7" ht="15" customHeight="1" x14ac:dyDescent="0.25">
      <c r="A71" s="38">
        <v>2026</v>
      </c>
      <c r="B71" s="38" t="s">
        <v>344</v>
      </c>
      <c r="C71" s="38">
        <v>26</v>
      </c>
      <c r="D71" s="38">
        <v>0</v>
      </c>
      <c r="E71" s="38">
        <v>26</v>
      </c>
      <c r="F71" s="38">
        <v>20</v>
      </c>
      <c r="G71" s="39">
        <f>IF(E71=0,"N/A",F71/E71)</f>
        <v>0.76923076923076927</v>
      </c>
    </row>
    <row r="72" spans="1:7" ht="15" customHeight="1" x14ac:dyDescent="0.25">
      <c r="A72" s="36">
        <v>2025</v>
      </c>
      <c r="B72" s="36" t="s">
        <v>345</v>
      </c>
      <c r="C72" s="36">
        <v>16</v>
      </c>
      <c r="D72" s="36">
        <v>3</v>
      </c>
      <c r="E72" s="36">
        <v>13</v>
      </c>
      <c r="F72" s="36">
        <v>12</v>
      </c>
      <c r="G72" s="37">
        <f>IF(E72=0,"N/A",F72/E72)</f>
        <v>0.92307692307692313</v>
      </c>
    </row>
    <row r="73" spans="1:7" ht="15" customHeight="1" x14ac:dyDescent="0.25">
      <c r="A73" s="38">
        <v>2026</v>
      </c>
      <c r="B73" s="38" t="s">
        <v>345</v>
      </c>
      <c r="C73" s="38">
        <v>9</v>
      </c>
      <c r="D73" s="38">
        <v>5</v>
      </c>
      <c r="E73" s="38">
        <v>4</v>
      </c>
      <c r="F73" s="38">
        <v>1</v>
      </c>
      <c r="G73" s="39">
        <f>IF(E73=0,"N/A",F73/E73)</f>
        <v>0.25</v>
      </c>
    </row>
    <row r="74" spans="1:7" ht="15" customHeight="1" x14ac:dyDescent="0.25">
      <c r="A74" s="36">
        <v>2025</v>
      </c>
      <c r="B74" s="36" t="s">
        <v>364</v>
      </c>
      <c r="C74" s="36" t="s">
        <v>126</v>
      </c>
      <c r="D74" s="36" t="s">
        <v>126</v>
      </c>
      <c r="E74" s="36" t="s">
        <v>126</v>
      </c>
      <c r="F74" s="36" t="s">
        <v>126</v>
      </c>
      <c r="G74" s="36" t="s">
        <v>126</v>
      </c>
    </row>
    <row r="75" spans="1:7" ht="15" customHeight="1" x14ac:dyDescent="0.25">
      <c r="A75" s="38">
        <v>2026</v>
      </c>
      <c r="B75" s="38" t="s">
        <v>364</v>
      </c>
      <c r="C75" s="38">
        <v>1</v>
      </c>
      <c r="D75" s="38">
        <v>1</v>
      </c>
      <c r="E75" s="38">
        <v>0</v>
      </c>
      <c r="F75" s="38">
        <v>0</v>
      </c>
      <c r="G75" s="39" t="str">
        <f>IF(E75=0,"N/A",F75/E75)</f>
        <v>N/A</v>
      </c>
    </row>
    <row r="76" spans="1:7" ht="15" customHeight="1" x14ac:dyDescent="0.25">
      <c r="A76" s="36">
        <v>2025</v>
      </c>
      <c r="B76" s="36" t="s">
        <v>171</v>
      </c>
      <c r="C76" s="36">
        <v>9</v>
      </c>
      <c r="D76" s="36">
        <v>0</v>
      </c>
      <c r="E76" s="36">
        <v>9</v>
      </c>
      <c r="F76" s="36">
        <v>9</v>
      </c>
      <c r="G76" s="37">
        <f>IF(E76=0,"N/A",F76/E76)</f>
        <v>1</v>
      </c>
    </row>
    <row r="77" spans="1:7" ht="15" customHeight="1" x14ac:dyDescent="0.25">
      <c r="A77" s="38">
        <v>2026</v>
      </c>
      <c r="B77" s="38" t="s">
        <v>171</v>
      </c>
      <c r="C77" s="38">
        <v>2665</v>
      </c>
      <c r="D77" s="38">
        <v>186</v>
      </c>
      <c r="E77" s="38">
        <v>2479</v>
      </c>
      <c r="F77" s="38">
        <v>1800</v>
      </c>
      <c r="G77" s="39">
        <f>IF(E77=0,"N/A",F77/E77)</f>
        <v>0.72609923356192008</v>
      </c>
    </row>
    <row r="78" spans="1:7" ht="15" customHeight="1" x14ac:dyDescent="0.25">
      <c r="A78" s="36">
        <v>2025</v>
      </c>
      <c r="B78" s="36" t="s">
        <v>347</v>
      </c>
      <c r="C78" s="36" t="s">
        <v>126</v>
      </c>
      <c r="D78" s="36" t="s">
        <v>126</v>
      </c>
      <c r="E78" s="36" t="s">
        <v>126</v>
      </c>
      <c r="F78" s="36" t="s">
        <v>126</v>
      </c>
      <c r="G78" s="36" t="s">
        <v>126</v>
      </c>
    </row>
    <row r="79" spans="1:7" ht="15" customHeight="1" x14ac:dyDescent="0.25">
      <c r="A79" s="38">
        <v>2026</v>
      </c>
      <c r="B79" s="38" t="s">
        <v>347</v>
      </c>
      <c r="C79" s="38">
        <v>26</v>
      </c>
      <c r="D79" s="38">
        <v>1</v>
      </c>
      <c r="E79" s="38">
        <v>25</v>
      </c>
      <c r="F79" s="38">
        <v>25</v>
      </c>
      <c r="G79" s="39">
        <f>IF(E79=0,"N/A",F79/E79)</f>
        <v>1</v>
      </c>
    </row>
    <row r="80" spans="1:7" ht="15" customHeight="1" x14ac:dyDescent="0.25">
      <c r="A80" s="36">
        <v>2025</v>
      </c>
      <c r="B80" s="36" t="s">
        <v>317</v>
      </c>
      <c r="C80" s="36" t="s">
        <v>126</v>
      </c>
      <c r="D80" s="36" t="s">
        <v>126</v>
      </c>
      <c r="E80" s="36" t="s">
        <v>126</v>
      </c>
      <c r="F80" s="36" t="s">
        <v>126</v>
      </c>
      <c r="G80" s="36" t="s">
        <v>126</v>
      </c>
    </row>
    <row r="81" spans="1:7" ht="15" customHeight="1" x14ac:dyDescent="0.25">
      <c r="A81" s="38">
        <v>2026</v>
      </c>
      <c r="B81" s="38" t="s">
        <v>317</v>
      </c>
      <c r="C81" s="38">
        <v>15</v>
      </c>
      <c r="D81" s="38">
        <v>1</v>
      </c>
      <c r="E81" s="38">
        <v>14</v>
      </c>
      <c r="F81" s="38">
        <v>8</v>
      </c>
      <c r="G81" s="39">
        <f>IF(E81=0,"N/A",F81/E81)</f>
        <v>0.5714285714285714</v>
      </c>
    </row>
    <row r="82" spans="1:7" ht="15" customHeight="1" x14ac:dyDescent="0.25">
      <c r="A82" s="36">
        <v>2025</v>
      </c>
      <c r="B82" s="36" t="s">
        <v>348</v>
      </c>
      <c r="C82" s="36">
        <v>30</v>
      </c>
      <c r="D82" s="36">
        <v>3</v>
      </c>
      <c r="E82" s="36">
        <v>27</v>
      </c>
      <c r="F82" s="36">
        <v>6</v>
      </c>
      <c r="G82" s="37">
        <f>IF(E82=0,"N/A",F82/E82)</f>
        <v>0.22222222222222221</v>
      </c>
    </row>
    <row r="83" spans="1:7" ht="15" customHeight="1" x14ac:dyDescent="0.25">
      <c r="A83" s="38">
        <v>2026</v>
      </c>
      <c r="B83" s="38" t="s">
        <v>348</v>
      </c>
      <c r="C83" s="38">
        <v>28</v>
      </c>
      <c r="D83" s="38">
        <v>5</v>
      </c>
      <c r="E83" s="38">
        <v>23</v>
      </c>
      <c r="F83" s="38">
        <v>9</v>
      </c>
      <c r="G83" s="39">
        <f>IF(E83=0,"N/A",F83/E83)</f>
        <v>0.39130434782608697</v>
      </c>
    </row>
    <row r="84" spans="1:7" ht="15" customHeight="1" x14ac:dyDescent="0.25">
      <c r="A84" s="36">
        <v>2025</v>
      </c>
      <c r="B84" s="36" t="s">
        <v>349</v>
      </c>
      <c r="C84" s="36" t="s">
        <v>126</v>
      </c>
      <c r="D84" s="36" t="s">
        <v>126</v>
      </c>
      <c r="E84" s="36" t="s">
        <v>126</v>
      </c>
      <c r="F84" s="36" t="s">
        <v>126</v>
      </c>
      <c r="G84" s="36" t="s">
        <v>126</v>
      </c>
    </row>
    <row r="85" spans="1:7" ht="15" customHeight="1" x14ac:dyDescent="0.25">
      <c r="A85" s="38">
        <v>2026</v>
      </c>
      <c r="B85" s="38" t="s">
        <v>349</v>
      </c>
      <c r="C85" s="38">
        <v>166</v>
      </c>
      <c r="D85" s="38">
        <v>27</v>
      </c>
      <c r="E85" s="38">
        <v>139</v>
      </c>
      <c r="F85" s="38">
        <v>75</v>
      </c>
      <c r="G85" s="39">
        <f t="shared" ref="G85:G98" si="2">IF(E85=0,"N/A",F85/E85)</f>
        <v>0.53956834532374098</v>
      </c>
    </row>
    <row r="86" spans="1:7" ht="15" customHeight="1" x14ac:dyDescent="0.25">
      <c r="A86" s="36">
        <v>2025</v>
      </c>
      <c r="B86" s="36" t="s">
        <v>173</v>
      </c>
      <c r="C86" s="36">
        <v>173</v>
      </c>
      <c r="D86" s="36">
        <v>19</v>
      </c>
      <c r="E86" s="36">
        <v>154</v>
      </c>
      <c r="F86" s="36">
        <v>114</v>
      </c>
      <c r="G86" s="37">
        <f t="shared" si="2"/>
        <v>0.74025974025974028</v>
      </c>
    </row>
    <row r="87" spans="1:7" ht="15" customHeight="1" x14ac:dyDescent="0.25">
      <c r="A87" s="38">
        <v>2026</v>
      </c>
      <c r="B87" s="38" t="s">
        <v>173</v>
      </c>
      <c r="C87" s="38">
        <v>154</v>
      </c>
      <c r="D87" s="38">
        <v>24</v>
      </c>
      <c r="E87" s="38">
        <v>130</v>
      </c>
      <c r="F87" s="38">
        <v>82</v>
      </c>
      <c r="G87" s="39">
        <f t="shared" si="2"/>
        <v>0.63076923076923075</v>
      </c>
    </row>
    <row r="88" spans="1:7" ht="15" customHeight="1" x14ac:dyDescent="0.25">
      <c r="A88" s="36">
        <v>2025</v>
      </c>
      <c r="B88" s="36" t="s">
        <v>175</v>
      </c>
      <c r="C88" s="36">
        <v>7343</v>
      </c>
      <c r="D88" s="36">
        <v>389</v>
      </c>
      <c r="E88" s="36">
        <v>6954</v>
      </c>
      <c r="F88" s="36">
        <v>6172</v>
      </c>
      <c r="G88" s="37">
        <f t="shared" si="2"/>
        <v>0.88754673569168818</v>
      </c>
    </row>
    <row r="89" spans="1:7" ht="15" customHeight="1" x14ac:dyDescent="0.25">
      <c r="A89" s="38">
        <v>2026</v>
      </c>
      <c r="B89" s="38" t="s">
        <v>175</v>
      </c>
      <c r="C89" s="38">
        <v>7360</v>
      </c>
      <c r="D89" s="38">
        <v>451</v>
      </c>
      <c r="E89" s="38">
        <v>6909</v>
      </c>
      <c r="F89" s="38">
        <v>5719</v>
      </c>
      <c r="G89" s="39">
        <f t="shared" si="2"/>
        <v>0.82776089159067878</v>
      </c>
    </row>
    <row r="90" spans="1:7" ht="15" customHeight="1" x14ac:dyDescent="0.25">
      <c r="A90" s="36">
        <v>2025</v>
      </c>
      <c r="B90" s="36" t="s">
        <v>177</v>
      </c>
      <c r="C90" s="36">
        <v>30974</v>
      </c>
      <c r="D90" s="36">
        <v>1295</v>
      </c>
      <c r="E90" s="36">
        <v>29679</v>
      </c>
      <c r="F90" s="36">
        <v>24576</v>
      </c>
      <c r="G90" s="37">
        <f t="shared" si="2"/>
        <v>0.82806024461740624</v>
      </c>
    </row>
    <row r="91" spans="1:7" ht="15" customHeight="1" x14ac:dyDescent="0.25">
      <c r="A91" s="38">
        <v>2026</v>
      </c>
      <c r="B91" s="38" t="s">
        <v>177</v>
      </c>
      <c r="C91" s="38">
        <v>28895</v>
      </c>
      <c r="D91" s="38">
        <v>1504</v>
      </c>
      <c r="E91" s="38">
        <v>27391</v>
      </c>
      <c r="F91" s="38">
        <v>24093</v>
      </c>
      <c r="G91" s="39">
        <f t="shared" si="2"/>
        <v>0.87959548756890948</v>
      </c>
    </row>
    <row r="92" spans="1:7" ht="15" customHeight="1" x14ac:dyDescent="0.25">
      <c r="A92" s="36">
        <v>2025</v>
      </c>
      <c r="B92" s="36" t="s">
        <v>350</v>
      </c>
      <c r="C92" s="36">
        <v>11</v>
      </c>
      <c r="D92" s="36">
        <v>0</v>
      </c>
      <c r="E92" s="36">
        <v>11</v>
      </c>
      <c r="F92" s="36">
        <v>11</v>
      </c>
      <c r="G92" s="37">
        <f t="shared" si="2"/>
        <v>1</v>
      </c>
    </row>
    <row r="93" spans="1:7" ht="15" customHeight="1" x14ac:dyDescent="0.25">
      <c r="A93" s="38">
        <v>2026</v>
      </c>
      <c r="B93" s="38" t="s">
        <v>350</v>
      </c>
      <c r="C93" s="38">
        <v>26</v>
      </c>
      <c r="D93" s="38">
        <v>1</v>
      </c>
      <c r="E93" s="38">
        <v>25</v>
      </c>
      <c r="F93" s="38">
        <v>25</v>
      </c>
      <c r="G93" s="39">
        <f t="shared" si="2"/>
        <v>1</v>
      </c>
    </row>
    <row r="94" spans="1:7" ht="15" customHeight="1" x14ac:dyDescent="0.25">
      <c r="A94" s="36">
        <v>2025</v>
      </c>
      <c r="B94" s="36" t="s">
        <v>365</v>
      </c>
      <c r="C94" s="36">
        <v>9</v>
      </c>
      <c r="D94" s="36">
        <v>1</v>
      </c>
      <c r="E94" s="36">
        <v>8</v>
      </c>
      <c r="F94" s="36">
        <v>5</v>
      </c>
      <c r="G94" s="37">
        <f t="shared" si="2"/>
        <v>0.625</v>
      </c>
    </row>
    <row r="95" spans="1:7" ht="15" customHeight="1" x14ac:dyDescent="0.25">
      <c r="A95" s="38">
        <v>2026</v>
      </c>
      <c r="B95" s="38" t="s">
        <v>365</v>
      </c>
      <c r="C95" s="38">
        <v>14</v>
      </c>
      <c r="D95" s="38">
        <v>1</v>
      </c>
      <c r="E95" s="38">
        <v>13</v>
      </c>
      <c r="F95" s="38">
        <v>11</v>
      </c>
      <c r="G95" s="39">
        <f t="shared" si="2"/>
        <v>0.84615384615384615</v>
      </c>
    </row>
    <row r="96" spans="1:7" ht="15" customHeight="1" x14ac:dyDescent="0.25">
      <c r="A96" s="36">
        <v>2025</v>
      </c>
      <c r="B96" s="36" t="s">
        <v>351</v>
      </c>
      <c r="C96" s="36">
        <v>21777</v>
      </c>
      <c r="D96" s="36">
        <v>793</v>
      </c>
      <c r="E96" s="36">
        <v>20984</v>
      </c>
      <c r="F96" s="36">
        <v>12896</v>
      </c>
      <c r="G96" s="37">
        <f t="shared" si="2"/>
        <v>0.61456347693480751</v>
      </c>
    </row>
    <row r="97" spans="1:7" ht="15" customHeight="1" x14ac:dyDescent="0.25">
      <c r="A97" s="38">
        <v>2026</v>
      </c>
      <c r="B97" s="38" t="s">
        <v>351</v>
      </c>
      <c r="C97" s="38">
        <v>29744</v>
      </c>
      <c r="D97" s="38">
        <v>1567</v>
      </c>
      <c r="E97" s="38">
        <v>28177</v>
      </c>
      <c r="F97" s="38">
        <v>14133</v>
      </c>
      <c r="G97" s="39">
        <f t="shared" si="2"/>
        <v>0.50157930226780711</v>
      </c>
    </row>
    <row r="98" spans="1:7" ht="15" customHeight="1" x14ac:dyDescent="0.25">
      <c r="A98" s="36">
        <v>2025</v>
      </c>
      <c r="B98" s="36" t="s">
        <v>183</v>
      </c>
      <c r="C98" s="36">
        <v>11</v>
      </c>
      <c r="D98" s="36">
        <v>0</v>
      </c>
      <c r="E98" s="36">
        <v>11</v>
      </c>
      <c r="F98" s="36">
        <v>11</v>
      </c>
      <c r="G98" s="37">
        <f t="shared" si="2"/>
        <v>1</v>
      </c>
    </row>
    <row r="99" spans="1:7" ht="15" customHeight="1" x14ac:dyDescent="0.25">
      <c r="A99" s="38">
        <v>2026</v>
      </c>
      <c r="B99" s="38" t="s">
        <v>183</v>
      </c>
      <c r="C99" s="38" t="s">
        <v>126</v>
      </c>
      <c r="D99" s="38" t="s">
        <v>126</v>
      </c>
      <c r="E99" s="38" t="s">
        <v>126</v>
      </c>
      <c r="F99" s="38" t="s">
        <v>126</v>
      </c>
      <c r="G99" s="38" t="s">
        <v>126</v>
      </c>
    </row>
    <row r="100" spans="1:7" ht="15" customHeight="1" x14ac:dyDescent="0.25">
      <c r="A100" s="36">
        <v>2025</v>
      </c>
      <c r="B100" s="36" t="s">
        <v>352</v>
      </c>
      <c r="C100" s="36">
        <v>16</v>
      </c>
      <c r="D100" s="36">
        <v>0</v>
      </c>
      <c r="E100" s="36">
        <v>16</v>
      </c>
      <c r="F100" s="36">
        <v>15</v>
      </c>
      <c r="G100" s="37">
        <f>IF(E100=0,"N/A",F100/E100)</f>
        <v>0.9375</v>
      </c>
    </row>
    <row r="101" spans="1:7" ht="15" customHeight="1" x14ac:dyDescent="0.25">
      <c r="A101" s="38">
        <v>2026</v>
      </c>
      <c r="B101" s="38" t="s">
        <v>352</v>
      </c>
      <c r="C101" s="38">
        <v>29</v>
      </c>
      <c r="D101" s="38">
        <v>2</v>
      </c>
      <c r="E101" s="38">
        <v>27</v>
      </c>
      <c r="F101" s="38">
        <v>26</v>
      </c>
      <c r="G101" s="39">
        <f>IF(E101=0,"N/A",F101/E101)</f>
        <v>0.96296296296296291</v>
      </c>
    </row>
    <row r="102" spans="1:7" ht="15" customHeight="1" x14ac:dyDescent="0.25">
      <c r="A102" s="36">
        <v>2025</v>
      </c>
      <c r="B102" s="36" t="s">
        <v>353</v>
      </c>
      <c r="C102" s="36">
        <v>2396</v>
      </c>
      <c r="D102" s="36">
        <v>146</v>
      </c>
      <c r="E102" s="36">
        <v>2250</v>
      </c>
      <c r="F102" s="36">
        <v>1767</v>
      </c>
      <c r="G102" s="37">
        <f>IF(E102=0,"N/A",F102/E102)</f>
        <v>0.78533333333333333</v>
      </c>
    </row>
    <row r="103" spans="1:7" ht="15" customHeight="1" x14ac:dyDescent="0.25">
      <c r="A103" s="38">
        <v>2026</v>
      </c>
      <c r="B103" s="38" t="s">
        <v>353</v>
      </c>
      <c r="C103" s="38" t="s">
        <v>126</v>
      </c>
      <c r="D103" s="38" t="s">
        <v>126</v>
      </c>
      <c r="E103" s="38" t="s">
        <v>126</v>
      </c>
      <c r="F103" s="38" t="s">
        <v>126</v>
      </c>
      <c r="G103" s="38" t="s">
        <v>126</v>
      </c>
    </row>
    <row r="104" spans="1:7" ht="15" customHeight="1" x14ac:dyDescent="0.25">
      <c r="A104" s="36">
        <v>2025</v>
      </c>
      <c r="B104" s="36" t="s">
        <v>189</v>
      </c>
      <c r="C104" s="36">
        <v>21777</v>
      </c>
      <c r="D104" s="36">
        <v>786</v>
      </c>
      <c r="E104" s="36">
        <v>20991</v>
      </c>
      <c r="F104" s="36">
        <v>16122</v>
      </c>
      <c r="G104" s="37">
        <f>IF(E104=0,"N/A",F104/E104)</f>
        <v>0.76804344719165352</v>
      </c>
    </row>
    <row r="105" spans="1:7" ht="15" customHeight="1" x14ac:dyDescent="0.25">
      <c r="A105" s="38">
        <v>2026</v>
      </c>
      <c r="B105" s="38" t="s">
        <v>189</v>
      </c>
      <c r="C105" s="38">
        <v>19639</v>
      </c>
      <c r="D105" s="38">
        <v>810</v>
      </c>
      <c r="E105" s="38">
        <v>18829</v>
      </c>
      <c r="F105" s="38">
        <v>13523</v>
      </c>
      <c r="G105" s="39">
        <f>IF(E105=0,"N/A",F105/E105)</f>
        <v>0.71820064793669336</v>
      </c>
    </row>
    <row r="106" spans="1:7" ht="15" customHeight="1" x14ac:dyDescent="0.25">
      <c r="A106" s="36">
        <v>2025</v>
      </c>
      <c r="B106" s="36" t="s">
        <v>354</v>
      </c>
      <c r="C106" s="36" t="s">
        <v>126</v>
      </c>
      <c r="D106" s="36" t="s">
        <v>126</v>
      </c>
      <c r="E106" s="36" t="s">
        <v>126</v>
      </c>
      <c r="F106" s="36" t="s">
        <v>126</v>
      </c>
      <c r="G106" s="36" t="s">
        <v>126</v>
      </c>
    </row>
    <row r="107" spans="1:7" ht="15" customHeight="1" x14ac:dyDescent="0.25">
      <c r="A107" s="38">
        <v>2026</v>
      </c>
      <c r="B107" s="38" t="s">
        <v>354</v>
      </c>
      <c r="C107" s="38">
        <v>184</v>
      </c>
      <c r="D107" s="38">
        <v>16</v>
      </c>
      <c r="E107" s="38">
        <v>168</v>
      </c>
      <c r="F107" s="38">
        <v>76</v>
      </c>
      <c r="G107" s="39">
        <f t="shared" ref="G107:G125" si="3">IF(E107=0,"N/A",F107/E107)</f>
        <v>0.45238095238095238</v>
      </c>
    </row>
    <row r="108" spans="1:7" ht="15" customHeight="1" x14ac:dyDescent="0.25">
      <c r="A108" s="36">
        <v>2025</v>
      </c>
      <c r="B108" s="36" t="s">
        <v>355</v>
      </c>
      <c r="C108" s="36">
        <v>13</v>
      </c>
      <c r="D108" s="36">
        <v>1</v>
      </c>
      <c r="E108" s="36">
        <v>12</v>
      </c>
      <c r="F108" s="36">
        <v>11</v>
      </c>
      <c r="G108" s="37">
        <f t="shared" si="3"/>
        <v>0.91666666666666663</v>
      </c>
    </row>
    <row r="109" spans="1:7" ht="15" customHeight="1" x14ac:dyDescent="0.25">
      <c r="A109" s="38">
        <v>2026</v>
      </c>
      <c r="B109" s="38" t="s">
        <v>355</v>
      </c>
      <c r="C109" s="38">
        <v>5</v>
      </c>
      <c r="D109" s="38">
        <v>2</v>
      </c>
      <c r="E109" s="38">
        <v>3</v>
      </c>
      <c r="F109" s="38">
        <v>3</v>
      </c>
      <c r="G109" s="39">
        <f t="shared" si="3"/>
        <v>1</v>
      </c>
    </row>
    <row r="110" spans="1:7" ht="15" customHeight="1" x14ac:dyDescent="0.25">
      <c r="A110" s="36">
        <v>2025</v>
      </c>
      <c r="B110" s="36" t="s">
        <v>356</v>
      </c>
      <c r="C110" s="36">
        <v>1408</v>
      </c>
      <c r="D110" s="36">
        <v>106</v>
      </c>
      <c r="E110" s="36">
        <v>1302</v>
      </c>
      <c r="F110" s="36">
        <v>1142</v>
      </c>
      <c r="G110" s="37">
        <f t="shared" si="3"/>
        <v>0.87711213517665132</v>
      </c>
    </row>
    <row r="111" spans="1:7" ht="15" customHeight="1" x14ac:dyDescent="0.25">
      <c r="A111" s="38">
        <v>2026</v>
      </c>
      <c r="B111" s="38" t="s">
        <v>356</v>
      </c>
      <c r="C111" s="38">
        <v>1091</v>
      </c>
      <c r="D111" s="38">
        <v>108</v>
      </c>
      <c r="E111" s="38">
        <v>983</v>
      </c>
      <c r="F111" s="38">
        <v>930</v>
      </c>
      <c r="G111" s="39">
        <f t="shared" si="3"/>
        <v>0.94608341810783314</v>
      </c>
    </row>
    <row r="112" spans="1:7" ht="15" customHeight="1" x14ac:dyDescent="0.25">
      <c r="A112" s="36">
        <v>2025</v>
      </c>
      <c r="B112" s="36" t="s">
        <v>357</v>
      </c>
      <c r="C112" s="36">
        <v>1006</v>
      </c>
      <c r="D112" s="36">
        <v>49</v>
      </c>
      <c r="E112" s="36">
        <v>957</v>
      </c>
      <c r="F112" s="36">
        <v>740</v>
      </c>
      <c r="G112" s="37">
        <f t="shared" si="3"/>
        <v>0.77324973876698011</v>
      </c>
    </row>
    <row r="113" spans="1:7" ht="15" customHeight="1" x14ac:dyDescent="0.25">
      <c r="A113" s="38">
        <v>2026</v>
      </c>
      <c r="B113" s="38" t="s">
        <v>357</v>
      </c>
      <c r="C113" s="38">
        <v>835</v>
      </c>
      <c r="D113" s="38">
        <v>57</v>
      </c>
      <c r="E113" s="38">
        <v>778</v>
      </c>
      <c r="F113" s="38">
        <v>528</v>
      </c>
      <c r="G113" s="39">
        <f t="shared" si="3"/>
        <v>0.67866323907455017</v>
      </c>
    </row>
    <row r="114" spans="1:7" ht="15" customHeight="1" x14ac:dyDescent="0.25">
      <c r="A114" s="36">
        <v>2025</v>
      </c>
      <c r="B114" s="36" t="s">
        <v>358</v>
      </c>
      <c r="C114" s="36">
        <v>1</v>
      </c>
      <c r="D114" s="36">
        <v>0</v>
      </c>
      <c r="E114" s="36">
        <v>1</v>
      </c>
      <c r="F114" s="36">
        <v>1</v>
      </c>
      <c r="G114" s="37">
        <f t="shared" si="3"/>
        <v>1</v>
      </c>
    </row>
    <row r="115" spans="1:7" ht="15" customHeight="1" x14ac:dyDescent="0.25">
      <c r="A115" s="38">
        <v>2026</v>
      </c>
      <c r="B115" s="38" t="s">
        <v>358</v>
      </c>
      <c r="C115" s="38">
        <v>1</v>
      </c>
      <c r="D115" s="38">
        <v>0</v>
      </c>
      <c r="E115" s="38">
        <v>1</v>
      </c>
      <c r="F115" s="38">
        <v>1</v>
      </c>
      <c r="G115" s="39">
        <f t="shared" si="3"/>
        <v>1</v>
      </c>
    </row>
    <row r="116" spans="1:7" ht="15" customHeight="1" x14ac:dyDescent="0.25">
      <c r="A116" s="36">
        <v>2025</v>
      </c>
      <c r="B116" s="36" t="s">
        <v>359</v>
      </c>
      <c r="C116" s="36">
        <v>30904</v>
      </c>
      <c r="D116" s="36">
        <v>1186</v>
      </c>
      <c r="E116" s="36">
        <v>29718</v>
      </c>
      <c r="F116" s="36">
        <v>27280</v>
      </c>
      <c r="G116" s="37">
        <f t="shared" si="3"/>
        <v>0.91796217780469747</v>
      </c>
    </row>
    <row r="117" spans="1:7" ht="15" customHeight="1" x14ac:dyDescent="0.25">
      <c r="A117" s="38">
        <v>2026</v>
      </c>
      <c r="B117" s="38" t="s">
        <v>359</v>
      </c>
      <c r="C117" s="38">
        <v>28836</v>
      </c>
      <c r="D117" s="38">
        <v>1417</v>
      </c>
      <c r="E117" s="38">
        <v>27419</v>
      </c>
      <c r="F117" s="38">
        <v>24823</v>
      </c>
      <c r="G117" s="39">
        <f t="shared" si="3"/>
        <v>0.9053211276851818</v>
      </c>
    </row>
    <row r="118" spans="1:7" ht="15" customHeight="1" x14ac:dyDescent="0.25">
      <c r="A118" s="36">
        <v>2025</v>
      </c>
      <c r="B118" s="36" t="s">
        <v>360</v>
      </c>
      <c r="C118" s="36">
        <v>11</v>
      </c>
      <c r="D118" s="36">
        <v>0</v>
      </c>
      <c r="E118" s="36">
        <v>11</v>
      </c>
      <c r="F118" s="36">
        <v>11</v>
      </c>
      <c r="G118" s="37">
        <f t="shared" si="3"/>
        <v>1</v>
      </c>
    </row>
    <row r="119" spans="1:7" ht="15" customHeight="1" x14ac:dyDescent="0.25">
      <c r="A119" s="38">
        <v>2026</v>
      </c>
      <c r="B119" s="38" t="s">
        <v>360</v>
      </c>
      <c r="C119" s="38">
        <v>26</v>
      </c>
      <c r="D119" s="38">
        <v>1</v>
      </c>
      <c r="E119" s="38">
        <v>25</v>
      </c>
      <c r="F119" s="38">
        <v>25</v>
      </c>
      <c r="G119" s="39">
        <f t="shared" si="3"/>
        <v>1</v>
      </c>
    </row>
    <row r="120" spans="1:7" ht="15" customHeight="1" x14ac:dyDescent="0.25">
      <c r="A120" s="36">
        <v>2025</v>
      </c>
      <c r="B120" s="36" t="s">
        <v>191</v>
      </c>
      <c r="C120" s="36">
        <v>31980</v>
      </c>
      <c r="D120" s="36">
        <v>1304</v>
      </c>
      <c r="E120" s="36">
        <v>30676</v>
      </c>
      <c r="F120" s="36">
        <v>25627</v>
      </c>
      <c r="G120" s="37">
        <f t="shared" si="3"/>
        <v>0.83540878862954748</v>
      </c>
    </row>
    <row r="121" spans="1:7" ht="15" customHeight="1" x14ac:dyDescent="0.25">
      <c r="A121" s="38">
        <v>2026</v>
      </c>
      <c r="B121" s="38" t="s">
        <v>191</v>
      </c>
      <c r="C121" s="38">
        <v>29730</v>
      </c>
      <c r="D121" s="38">
        <v>1516</v>
      </c>
      <c r="E121" s="38">
        <v>28214</v>
      </c>
      <c r="F121" s="38">
        <v>25179</v>
      </c>
      <c r="G121" s="39">
        <f t="shared" si="3"/>
        <v>0.89242929042319419</v>
      </c>
    </row>
    <row r="122" spans="1:7" ht="15" customHeight="1" x14ac:dyDescent="0.25">
      <c r="A122" s="36">
        <v>2025</v>
      </c>
      <c r="B122" s="36" t="s">
        <v>361</v>
      </c>
      <c r="C122" s="36">
        <v>11</v>
      </c>
      <c r="D122" s="36">
        <v>0</v>
      </c>
      <c r="E122" s="36">
        <v>11</v>
      </c>
      <c r="F122" s="36">
        <v>11</v>
      </c>
      <c r="G122" s="37">
        <f t="shared" si="3"/>
        <v>1</v>
      </c>
    </row>
    <row r="123" spans="1:7" ht="15" customHeight="1" x14ac:dyDescent="0.25">
      <c r="A123" s="38">
        <v>2026</v>
      </c>
      <c r="B123" s="38" t="s">
        <v>361</v>
      </c>
      <c r="C123" s="38">
        <v>26</v>
      </c>
      <c r="D123" s="38">
        <v>1</v>
      </c>
      <c r="E123" s="38">
        <v>25</v>
      </c>
      <c r="F123" s="38">
        <v>25</v>
      </c>
      <c r="G123" s="39">
        <f t="shared" si="3"/>
        <v>1</v>
      </c>
    </row>
    <row r="124" spans="1:7" ht="15" customHeight="1" x14ac:dyDescent="0.25">
      <c r="A124" s="36">
        <v>2025</v>
      </c>
      <c r="B124" s="36" t="s">
        <v>366</v>
      </c>
      <c r="C124" s="36">
        <v>9</v>
      </c>
      <c r="D124" s="36">
        <v>1</v>
      </c>
      <c r="E124" s="36">
        <v>8</v>
      </c>
      <c r="F124" s="36">
        <v>7</v>
      </c>
      <c r="G124" s="37">
        <f t="shared" si="3"/>
        <v>0.875</v>
      </c>
    </row>
    <row r="125" spans="1:7" ht="15" customHeight="1" x14ac:dyDescent="0.25">
      <c r="A125" s="38">
        <v>2026</v>
      </c>
      <c r="B125" s="38" t="s">
        <v>366</v>
      </c>
      <c r="C125" s="38">
        <v>14</v>
      </c>
      <c r="D125" s="38">
        <v>1</v>
      </c>
      <c r="E125" s="38">
        <v>13</v>
      </c>
      <c r="F125" s="38">
        <v>13</v>
      </c>
      <c r="G125" s="39">
        <f t="shared" si="3"/>
        <v>1</v>
      </c>
    </row>
    <row r="126" spans="1:7" ht="15" customHeight="1" x14ac:dyDescent="0.25">
      <c r="A126" s="36">
        <v>2025</v>
      </c>
      <c r="B126" s="36" t="s">
        <v>367</v>
      </c>
      <c r="C126" s="36" t="s">
        <v>126</v>
      </c>
      <c r="D126" s="36" t="s">
        <v>126</v>
      </c>
      <c r="E126" s="36" t="s">
        <v>126</v>
      </c>
      <c r="F126" s="36" t="s">
        <v>126</v>
      </c>
      <c r="G126" s="36" t="s">
        <v>126</v>
      </c>
    </row>
    <row r="127" spans="1:7" ht="15" customHeight="1" x14ac:dyDescent="0.25">
      <c r="A127" s="38">
        <v>2026</v>
      </c>
      <c r="B127" s="38" t="s">
        <v>367</v>
      </c>
      <c r="C127" s="38">
        <v>2</v>
      </c>
      <c r="D127" s="38">
        <v>1</v>
      </c>
      <c r="E127" s="38">
        <v>1</v>
      </c>
      <c r="F127" s="38">
        <v>0</v>
      </c>
      <c r="G127" s="39">
        <f>IF(E127=0,"N/A",F127/E127)</f>
        <v>0</v>
      </c>
    </row>
  </sheetData>
  <autoFilter ref="A1:G127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24" customWidth="1"/>
    <col min="3" max="3" width="22" customWidth="1"/>
    <col min="4" max="4" width="20" customWidth="1"/>
    <col min="5" max="5" width="18" customWidth="1"/>
  </cols>
  <sheetData>
    <row r="1" spans="1:5" ht="21.75" customHeight="1" x14ac:dyDescent="0.25">
      <c r="A1" s="2" t="s">
        <v>368</v>
      </c>
      <c r="B1" s="2"/>
      <c r="C1" s="2"/>
      <c r="D1" s="2"/>
      <c r="E1" s="2"/>
    </row>
    <row r="2" spans="1:5" ht="15.75" customHeight="1" x14ac:dyDescent="0.25">
      <c r="A2" s="1" t="s">
        <v>369</v>
      </c>
      <c r="B2" s="1"/>
      <c r="C2" s="1"/>
      <c r="D2" s="1"/>
      <c r="E2" s="1"/>
    </row>
    <row r="4" spans="1:5" ht="25.5" x14ac:dyDescent="0.25">
      <c r="A4" s="42" t="s">
        <v>121</v>
      </c>
      <c r="B4" s="42" t="s">
        <v>370</v>
      </c>
      <c r="C4" s="42" t="s">
        <v>128</v>
      </c>
      <c r="D4" s="42" t="s">
        <v>129</v>
      </c>
      <c r="E4" s="42" t="s">
        <v>371</v>
      </c>
    </row>
    <row r="5" spans="1:5" x14ac:dyDescent="0.25">
      <c r="A5" s="43">
        <v>2021</v>
      </c>
      <c r="B5" s="44">
        <v>244321</v>
      </c>
      <c r="C5" s="44">
        <v>229957</v>
      </c>
      <c r="D5" s="44">
        <v>228509</v>
      </c>
      <c r="E5" s="44">
        <v>99.37</v>
      </c>
    </row>
    <row r="6" spans="1:5" x14ac:dyDescent="0.25">
      <c r="A6" s="45">
        <v>2022</v>
      </c>
      <c r="B6" s="46">
        <v>240783</v>
      </c>
      <c r="C6" s="46">
        <v>234589</v>
      </c>
      <c r="D6" s="46">
        <v>103501</v>
      </c>
      <c r="E6" s="46">
        <v>44.12</v>
      </c>
    </row>
    <row r="7" spans="1:5" x14ac:dyDescent="0.25">
      <c r="A7" s="47">
        <v>2023</v>
      </c>
      <c r="B7" s="48">
        <v>265879</v>
      </c>
      <c r="C7" s="48">
        <v>258809</v>
      </c>
      <c r="D7" s="48">
        <v>139030</v>
      </c>
      <c r="E7" s="48">
        <v>53.72</v>
      </c>
    </row>
    <row r="8" spans="1:5" x14ac:dyDescent="0.25">
      <c r="A8" s="49">
        <v>2024</v>
      </c>
      <c r="B8" s="50">
        <v>263930</v>
      </c>
      <c r="C8" s="50">
        <v>256818</v>
      </c>
      <c r="D8" s="50">
        <v>121673</v>
      </c>
      <c r="E8" s="50">
        <v>47.38</v>
      </c>
    </row>
    <row r="9" spans="1:5" x14ac:dyDescent="0.25">
      <c r="A9" s="47">
        <v>2025</v>
      </c>
      <c r="B9" s="48">
        <v>278724</v>
      </c>
      <c r="C9" s="48">
        <v>271463</v>
      </c>
      <c r="D9" s="48">
        <v>134034</v>
      </c>
      <c r="E9" s="48">
        <v>49.37</v>
      </c>
    </row>
    <row r="10" spans="1:5" x14ac:dyDescent="0.25">
      <c r="A10" s="51">
        <v>2026</v>
      </c>
      <c r="B10" s="52">
        <v>257318</v>
      </c>
      <c r="C10" s="52">
        <v>249352</v>
      </c>
      <c r="D10" s="52">
        <v>115966</v>
      </c>
      <c r="E10" s="52">
        <v>46.51</v>
      </c>
    </row>
    <row r="11" spans="1:5" x14ac:dyDescent="0.25">
      <c r="A11" s="53" t="s">
        <v>125</v>
      </c>
      <c r="B11" s="54">
        <v>-21406</v>
      </c>
      <c r="C11" s="54">
        <v>-22111</v>
      </c>
      <c r="D11" s="54">
        <v>-18068</v>
      </c>
      <c r="E11" s="54">
        <v>-2.86</v>
      </c>
    </row>
  </sheetData>
  <autoFilter ref="A4:E10" xr:uid="{00000000-0009-0000-0000-000013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3" width="14" customWidth="1"/>
    <col min="4" max="6" width="12" customWidth="1"/>
    <col min="7" max="7" width="10" customWidth="1"/>
  </cols>
  <sheetData>
    <row r="1" spans="1:7" ht="21.75" customHeight="1" x14ac:dyDescent="0.25">
      <c r="A1" s="2" t="s">
        <v>372</v>
      </c>
      <c r="B1" s="2"/>
      <c r="C1" s="2"/>
      <c r="D1" s="2"/>
      <c r="E1" s="2"/>
      <c r="F1" s="2"/>
      <c r="G1" s="2"/>
    </row>
    <row r="3" spans="1:7" x14ac:dyDescent="0.25">
      <c r="A3" s="42" t="s">
        <v>121</v>
      </c>
      <c r="B3" s="42" t="s">
        <v>130</v>
      </c>
      <c r="C3" s="42" t="s">
        <v>131</v>
      </c>
      <c r="D3" s="42" t="s">
        <v>229</v>
      </c>
      <c r="E3" s="42" t="s">
        <v>122</v>
      </c>
      <c r="F3" s="42" t="s">
        <v>123</v>
      </c>
      <c r="G3" s="42" t="s">
        <v>132</v>
      </c>
    </row>
    <row r="4" spans="1:7" x14ac:dyDescent="0.25">
      <c r="A4" s="51">
        <v>2026</v>
      </c>
      <c r="B4" s="52" t="s">
        <v>198</v>
      </c>
      <c r="C4" s="52" t="s">
        <v>244</v>
      </c>
      <c r="D4" s="52" t="s">
        <v>232</v>
      </c>
      <c r="E4" s="52">
        <v>61121</v>
      </c>
      <c r="F4" s="52">
        <v>28598</v>
      </c>
      <c r="G4" s="52">
        <v>46.79</v>
      </c>
    </row>
    <row r="5" spans="1:7" x14ac:dyDescent="0.25">
      <c r="A5" s="51">
        <v>2026</v>
      </c>
      <c r="B5" s="52" t="s">
        <v>198</v>
      </c>
      <c r="C5" s="52" t="s">
        <v>244</v>
      </c>
      <c r="D5" s="52" t="s">
        <v>233</v>
      </c>
      <c r="E5" s="52">
        <v>66734</v>
      </c>
      <c r="F5" s="52">
        <v>46191</v>
      </c>
      <c r="G5" s="52">
        <v>69.22</v>
      </c>
    </row>
    <row r="6" spans="1:7" x14ac:dyDescent="0.25">
      <c r="A6" s="51">
        <v>2026</v>
      </c>
      <c r="B6" s="52" t="s">
        <v>198</v>
      </c>
      <c r="C6" s="52" t="s">
        <v>244</v>
      </c>
      <c r="D6" s="52" t="s">
        <v>143</v>
      </c>
      <c r="E6" s="52">
        <v>127855</v>
      </c>
      <c r="F6" s="52">
        <v>74789</v>
      </c>
      <c r="G6" s="52">
        <v>58.5</v>
      </c>
    </row>
    <row r="7" spans="1:7" x14ac:dyDescent="0.25">
      <c r="A7" s="51">
        <v>2026</v>
      </c>
      <c r="B7" s="52" t="s">
        <v>198</v>
      </c>
      <c r="C7" s="52" t="s">
        <v>238</v>
      </c>
      <c r="D7" s="52" t="s">
        <v>232</v>
      </c>
      <c r="E7" s="52">
        <v>19857</v>
      </c>
      <c r="F7" s="52">
        <v>5902</v>
      </c>
      <c r="G7" s="52">
        <v>29.72</v>
      </c>
    </row>
    <row r="8" spans="1:7" x14ac:dyDescent="0.25">
      <c r="A8" s="51">
        <v>2026</v>
      </c>
      <c r="B8" s="52" t="s">
        <v>198</v>
      </c>
      <c r="C8" s="52" t="s">
        <v>238</v>
      </c>
      <c r="D8" s="52" t="s">
        <v>233</v>
      </c>
      <c r="E8" s="52">
        <v>21425</v>
      </c>
      <c r="F8" s="52">
        <v>11114</v>
      </c>
      <c r="G8" s="52">
        <v>51.87</v>
      </c>
    </row>
    <row r="9" spans="1:7" x14ac:dyDescent="0.25">
      <c r="A9" s="51">
        <v>2026</v>
      </c>
      <c r="B9" s="52" t="s">
        <v>198</v>
      </c>
      <c r="C9" s="52" t="s">
        <v>238</v>
      </c>
      <c r="D9" s="52" t="s">
        <v>143</v>
      </c>
      <c r="E9" s="52">
        <v>41282</v>
      </c>
      <c r="F9" s="52">
        <v>17016</v>
      </c>
      <c r="G9" s="52">
        <v>41.22</v>
      </c>
    </row>
    <row r="10" spans="1:7" x14ac:dyDescent="0.25">
      <c r="A10" s="51">
        <v>2026</v>
      </c>
      <c r="B10" s="52" t="s">
        <v>198</v>
      </c>
      <c r="C10" s="52" t="s">
        <v>144</v>
      </c>
      <c r="D10" s="52" t="s">
        <v>373</v>
      </c>
      <c r="E10" s="52">
        <v>169137</v>
      </c>
      <c r="F10" s="52">
        <v>91805</v>
      </c>
      <c r="G10" s="52">
        <v>54.28</v>
      </c>
    </row>
    <row r="11" spans="1:7" x14ac:dyDescent="0.25">
      <c r="A11" s="51">
        <v>2026</v>
      </c>
      <c r="B11" s="52" t="s">
        <v>309</v>
      </c>
      <c r="C11" s="52" t="s">
        <v>244</v>
      </c>
      <c r="D11" s="52" t="s">
        <v>232</v>
      </c>
      <c r="E11" s="52">
        <v>12145</v>
      </c>
      <c r="F11" s="52">
        <v>2341</v>
      </c>
      <c r="G11" s="52">
        <v>19.28</v>
      </c>
    </row>
    <row r="12" spans="1:7" x14ac:dyDescent="0.25">
      <c r="A12" s="51">
        <v>2026</v>
      </c>
      <c r="B12" s="52" t="s">
        <v>309</v>
      </c>
      <c r="C12" s="52" t="s">
        <v>244</v>
      </c>
      <c r="D12" s="52" t="s">
        <v>233</v>
      </c>
      <c r="E12" s="52">
        <v>35142</v>
      </c>
      <c r="F12" s="52">
        <v>12754</v>
      </c>
      <c r="G12" s="52">
        <v>36.29</v>
      </c>
    </row>
    <row r="13" spans="1:7" x14ac:dyDescent="0.25">
      <c r="A13" s="51">
        <v>2026</v>
      </c>
      <c r="B13" s="52" t="s">
        <v>309</v>
      </c>
      <c r="C13" s="52" t="s">
        <v>244</v>
      </c>
      <c r="D13" s="52" t="s">
        <v>143</v>
      </c>
      <c r="E13" s="52">
        <v>47287</v>
      </c>
      <c r="F13" s="52">
        <v>15095</v>
      </c>
      <c r="G13" s="52">
        <v>31.92</v>
      </c>
    </row>
    <row r="14" spans="1:7" x14ac:dyDescent="0.25">
      <c r="A14" s="51">
        <v>2026</v>
      </c>
      <c r="B14" s="52" t="s">
        <v>309</v>
      </c>
      <c r="C14" s="52" t="s">
        <v>238</v>
      </c>
      <c r="D14" s="52" t="s">
        <v>232</v>
      </c>
      <c r="E14" s="52">
        <v>11053</v>
      </c>
      <c r="F14" s="52">
        <v>1491</v>
      </c>
      <c r="G14" s="52">
        <v>13.49</v>
      </c>
    </row>
    <row r="15" spans="1:7" x14ac:dyDescent="0.25">
      <c r="A15" s="51">
        <v>2026</v>
      </c>
      <c r="B15" s="52" t="s">
        <v>309</v>
      </c>
      <c r="C15" s="52" t="s">
        <v>238</v>
      </c>
      <c r="D15" s="52" t="s">
        <v>233</v>
      </c>
      <c r="E15" s="52">
        <v>13904</v>
      </c>
      <c r="F15" s="52">
        <v>4253</v>
      </c>
      <c r="G15" s="52">
        <v>30.59</v>
      </c>
    </row>
    <row r="16" spans="1:7" x14ac:dyDescent="0.25">
      <c r="A16" s="51">
        <v>2026</v>
      </c>
      <c r="B16" s="52" t="s">
        <v>309</v>
      </c>
      <c r="C16" s="52" t="s">
        <v>238</v>
      </c>
      <c r="D16" s="52" t="s">
        <v>143</v>
      </c>
      <c r="E16" s="52">
        <v>24957</v>
      </c>
      <c r="F16" s="52">
        <v>5744</v>
      </c>
      <c r="G16" s="52">
        <v>23.02</v>
      </c>
    </row>
    <row r="17" spans="1:7" x14ac:dyDescent="0.25">
      <c r="A17" s="51">
        <v>2026</v>
      </c>
      <c r="B17" s="52" t="s">
        <v>309</v>
      </c>
      <c r="C17" s="52" t="s">
        <v>144</v>
      </c>
      <c r="D17" s="52" t="s">
        <v>373</v>
      </c>
      <c r="E17" s="52">
        <v>72244</v>
      </c>
      <c r="F17" s="52">
        <v>20839</v>
      </c>
      <c r="G17" s="52">
        <v>28.85</v>
      </c>
    </row>
    <row r="18" spans="1:7" x14ac:dyDescent="0.25">
      <c r="A18" s="51">
        <v>2026</v>
      </c>
      <c r="B18" s="52" t="s">
        <v>374</v>
      </c>
      <c r="C18" s="52" t="s">
        <v>244</v>
      </c>
      <c r="D18" s="52" t="s">
        <v>232</v>
      </c>
      <c r="E18" s="52">
        <v>47</v>
      </c>
      <c r="F18" s="52">
        <v>46</v>
      </c>
      <c r="G18" s="52">
        <v>97.87</v>
      </c>
    </row>
    <row r="19" spans="1:7" x14ac:dyDescent="0.25">
      <c r="A19" s="51">
        <v>2026</v>
      </c>
      <c r="B19" s="52" t="s">
        <v>374</v>
      </c>
      <c r="C19" s="52" t="s">
        <v>244</v>
      </c>
      <c r="D19" s="52" t="s">
        <v>233</v>
      </c>
      <c r="E19" s="52">
        <v>17</v>
      </c>
      <c r="F19" s="52">
        <v>16</v>
      </c>
      <c r="G19" s="52">
        <v>94.12</v>
      </c>
    </row>
    <row r="20" spans="1:7" x14ac:dyDescent="0.25">
      <c r="A20" s="51">
        <v>2026</v>
      </c>
      <c r="B20" s="52" t="s">
        <v>374</v>
      </c>
      <c r="C20" s="52" t="s">
        <v>244</v>
      </c>
      <c r="D20" s="52" t="s">
        <v>143</v>
      </c>
      <c r="E20" s="52">
        <v>64</v>
      </c>
      <c r="F20" s="52">
        <v>62</v>
      </c>
      <c r="G20" s="52">
        <v>96.88</v>
      </c>
    </row>
    <row r="21" spans="1:7" x14ac:dyDescent="0.25">
      <c r="A21" s="51">
        <v>2026</v>
      </c>
      <c r="B21" s="52" t="s">
        <v>374</v>
      </c>
      <c r="C21" s="52" t="s">
        <v>238</v>
      </c>
      <c r="D21" s="52" t="s">
        <v>232</v>
      </c>
      <c r="E21" s="52">
        <v>48</v>
      </c>
      <c r="F21" s="52">
        <v>47</v>
      </c>
      <c r="G21" s="52">
        <v>97.92</v>
      </c>
    </row>
    <row r="22" spans="1:7" x14ac:dyDescent="0.25">
      <c r="A22" s="51">
        <v>2026</v>
      </c>
      <c r="B22" s="52" t="s">
        <v>374</v>
      </c>
      <c r="C22" s="52" t="s">
        <v>238</v>
      </c>
      <c r="D22" s="52" t="s">
        <v>233</v>
      </c>
      <c r="E22" s="52">
        <v>62</v>
      </c>
      <c r="F22" s="52">
        <v>58</v>
      </c>
      <c r="G22" s="52">
        <v>93.55</v>
      </c>
    </row>
    <row r="23" spans="1:7" x14ac:dyDescent="0.25">
      <c r="A23" s="51">
        <v>2026</v>
      </c>
      <c r="B23" s="52" t="s">
        <v>374</v>
      </c>
      <c r="C23" s="52" t="s">
        <v>238</v>
      </c>
      <c r="D23" s="52" t="s">
        <v>143</v>
      </c>
      <c r="E23" s="52">
        <v>110</v>
      </c>
      <c r="F23" s="52">
        <v>105</v>
      </c>
      <c r="G23" s="52">
        <v>95.45</v>
      </c>
    </row>
    <row r="24" spans="1:7" x14ac:dyDescent="0.25">
      <c r="A24" s="51">
        <v>2026</v>
      </c>
      <c r="B24" s="52" t="s">
        <v>374</v>
      </c>
      <c r="C24" s="52" t="s">
        <v>144</v>
      </c>
      <c r="D24" s="52" t="s">
        <v>373</v>
      </c>
      <c r="E24" s="52">
        <v>174</v>
      </c>
      <c r="F24" s="52">
        <v>167</v>
      </c>
      <c r="G24" s="52">
        <v>95.98</v>
      </c>
    </row>
    <row r="25" spans="1:7" x14ac:dyDescent="0.25">
      <c r="A25" s="47">
        <v>2025</v>
      </c>
      <c r="B25" s="48" t="s">
        <v>198</v>
      </c>
      <c r="C25" s="48" t="s">
        <v>244</v>
      </c>
      <c r="D25" s="48" t="s">
        <v>232</v>
      </c>
      <c r="E25" s="48">
        <v>73779</v>
      </c>
      <c r="F25" s="48">
        <v>32716</v>
      </c>
      <c r="G25" s="48">
        <v>44.34</v>
      </c>
    </row>
    <row r="26" spans="1:7" x14ac:dyDescent="0.25">
      <c r="A26" s="47">
        <v>2025</v>
      </c>
      <c r="B26" s="48" t="s">
        <v>198</v>
      </c>
      <c r="C26" s="48" t="s">
        <v>244</v>
      </c>
      <c r="D26" s="48" t="s">
        <v>233</v>
      </c>
      <c r="E26" s="48">
        <v>75078</v>
      </c>
      <c r="F26" s="48">
        <v>48626</v>
      </c>
      <c r="G26" s="48">
        <v>64.77</v>
      </c>
    </row>
    <row r="27" spans="1:7" x14ac:dyDescent="0.25">
      <c r="A27" s="47">
        <v>2025</v>
      </c>
      <c r="B27" s="48" t="s">
        <v>198</v>
      </c>
      <c r="C27" s="48" t="s">
        <v>244</v>
      </c>
      <c r="D27" s="48" t="s">
        <v>143</v>
      </c>
      <c r="E27" s="48">
        <v>148857</v>
      </c>
      <c r="F27" s="48">
        <v>81342</v>
      </c>
      <c r="G27" s="48">
        <v>54.64</v>
      </c>
    </row>
    <row r="28" spans="1:7" x14ac:dyDescent="0.25">
      <c r="A28" s="47">
        <v>2025</v>
      </c>
      <c r="B28" s="48" t="s">
        <v>198</v>
      </c>
      <c r="C28" s="48" t="s">
        <v>238</v>
      </c>
      <c r="D28" s="48" t="s">
        <v>232</v>
      </c>
      <c r="E28" s="48">
        <v>24577</v>
      </c>
      <c r="F28" s="48">
        <v>6847</v>
      </c>
      <c r="G28" s="48">
        <v>27.86</v>
      </c>
    </row>
    <row r="29" spans="1:7" x14ac:dyDescent="0.25">
      <c r="A29" s="47">
        <v>2025</v>
      </c>
      <c r="B29" s="48" t="s">
        <v>198</v>
      </c>
      <c r="C29" s="48" t="s">
        <v>238</v>
      </c>
      <c r="D29" s="48" t="s">
        <v>233</v>
      </c>
      <c r="E29" s="48">
        <v>27017</v>
      </c>
      <c r="F29" s="48">
        <v>12941</v>
      </c>
      <c r="G29" s="48">
        <v>47.9</v>
      </c>
    </row>
    <row r="30" spans="1:7" x14ac:dyDescent="0.25">
      <c r="A30" s="47">
        <v>2025</v>
      </c>
      <c r="B30" s="48" t="s">
        <v>198</v>
      </c>
      <c r="C30" s="48" t="s">
        <v>238</v>
      </c>
      <c r="D30" s="48" t="s">
        <v>143</v>
      </c>
      <c r="E30" s="48">
        <v>51594</v>
      </c>
      <c r="F30" s="48">
        <v>19788</v>
      </c>
      <c r="G30" s="48">
        <v>38.35</v>
      </c>
    </row>
    <row r="31" spans="1:7" x14ac:dyDescent="0.25">
      <c r="A31" s="47">
        <v>2025</v>
      </c>
      <c r="B31" s="48" t="s">
        <v>198</v>
      </c>
      <c r="C31" s="48" t="s">
        <v>144</v>
      </c>
      <c r="D31" s="48" t="s">
        <v>373</v>
      </c>
      <c r="E31" s="48">
        <v>200451</v>
      </c>
      <c r="F31" s="48">
        <v>101130</v>
      </c>
      <c r="G31" s="48">
        <v>50.45</v>
      </c>
    </row>
    <row r="32" spans="1:7" x14ac:dyDescent="0.25">
      <c r="A32" s="47">
        <v>2025</v>
      </c>
      <c r="B32" s="48" t="s">
        <v>309</v>
      </c>
      <c r="C32" s="48" t="s">
        <v>244</v>
      </c>
      <c r="D32" s="48" t="s">
        <v>232</v>
      </c>
      <c r="E32" s="48">
        <v>11587</v>
      </c>
      <c r="F32" s="48">
        <v>3062</v>
      </c>
      <c r="G32" s="48">
        <v>26.43</v>
      </c>
    </row>
    <row r="33" spans="1:7" x14ac:dyDescent="0.25">
      <c r="A33" s="47">
        <v>2025</v>
      </c>
      <c r="B33" s="48" t="s">
        <v>309</v>
      </c>
      <c r="C33" s="48" t="s">
        <v>244</v>
      </c>
      <c r="D33" s="48" t="s">
        <v>233</v>
      </c>
      <c r="E33" s="48">
        <v>34041</v>
      </c>
      <c r="F33" s="48">
        <v>19734</v>
      </c>
      <c r="G33" s="48">
        <v>57.97</v>
      </c>
    </row>
    <row r="34" spans="1:7" x14ac:dyDescent="0.25">
      <c r="A34" s="47">
        <v>2025</v>
      </c>
      <c r="B34" s="48" t="s">
        <v>309</v>
      </c>
      <c r="C34" s="48" t="s">
        <v>244</v>
      </c>
      <c r="D34" s="48" t="s">
        <v>143</v>
      </c>
      <c r="E34" s="48">
        <v>45628</v>
      </c>
      <c r="F34" s="48">
        <v>22796</v>
      </c>
      <c r="G34" s="48">
        <v>49.96</v>
      </c>
    </row>
    <row r="35" spans="1:7" x14ac:dyDescent="0.25">
      <c r="A35" s="47">
        <v>2025</v>
      </c>
      <c r="B35" s="48" t="s">
        <v>309</v>
      </c>
      <c r="C35" s="48" t="s">
        <v>238</v>
      </c>
      <c r="D35" s="48" t="s">
        <v>232</v>
      </c>
      <c r="E35" s="48">
        <v>10643</v>
      </c>
      <c r="F35" s="48">
        <v>2533</v>
      </c>
      <c r="G35" s="48">
        <v>23.8</v>
      </c>
    </row>
    <row r="36" spans="1:7" x14ac:dyDescent="0.25">
      <c r="A36" s="47">
        <v>2025</v>
      </c>
      <c r="B36" s="48" t="s">
        <v>309</v>
      </c>
      <c r="C36" s="48" t="s">
        <v>238</v>
      </c>
      <c r="D36" s="48" t="s">
        <v>233</v>
      </c>
      <c r="E36" s="48">
        <v>14593</v>
      </c>
      <c r="F36" s="48">
        <v>7438</v>
      </c>
      <c r="G36" s="48">
        <v>50.97</v>
      </c>
    </row>
    <row r="37" spans="1:7" x14ac:dyDescent="0.25">
      <c r="A37" s="47">
        <v>2025</v>
      </c>
      <c r="B37" s="48" t="s">
        <v>309</v>
      </c>
      <c r="C37" s="48" t="s">
        <v>238</v>
      </c>
      <c r="D37" s="48" t="s">
        <v>143</v>
      </c>
      <c r="E37" s="48">
        <v>25236</v>
      </c>
      <c r="F37" s="48">
        <v>9971</v>
      </c>
      <c r="G37" s="48">
        <v>39.51</v>
      </c>
    </row>
    <row r="38" spans="1:7" x14ac:dyDescent="0.25">
      <c r="A38" s="47">
        <v>2025</v>
      </c>
      <c r="B38" s="48" t="s">
        <v>309</v>
      </c>
      <c r="C38" s="48" t="s">
        <v>144</v>
      </c>
      <c r="D38" s="48" t="s">
        <v>373</v>
      </c>
      <c r="E38" s="48">
        <v>70864</v>
      </c>
      <c r="F38" s="48">
        <v>32767</v>
      </c>
      <c r="G38" s="48">
        <v>46.24</v>
      </c>
    </row>
    <row r="39" spans="1:7" x14ac:dyDescent="0.25">
      <c r="A39" s="47">
        <v>2025</v>
      </c>
      <c r="B39" s="48" t="s">
        <v>374</v>
      </c>
      <c r="C39" s="48" t="s">
        <v>244</v>
      </c>
      <c r="D39" s="48" t="s">
        <v>232</v>
      </c>
      <c r="E39" s="48">
        <v>40</v>
      </c>
      <c r="F39" s="48">
        <v>37</v>
      </c>
      <c r="G39" s="48">
        <v>92.5</v>
      </c>
    </row>
    <row r="40" spans="1:7" x14ac:dyDescent="0.25">
      <c r="A40" s="47">
        <v>2025</v>
      </c>
      <c r="B40" s="48" t="s">
        <v>374</v>
      </c>
      <c r="C40" s="48" t="s">
        <v>244</v>
      </c>
      <c r="D40" s="48" t="s">
        <v>233</v>
      </c>
      <c r="E40" s="48">
        <v>19</v>
      </c>
      <c r="F40" s="48">
        <v>17</v>
      </c>
      <c r="G40" s="48">
        <v>89.47</v>
      </c>
    </row>
    <row r="41" spans="1:7" x14ac:dyDescent="0.25">
      <c r="A41" s="47">
        <v>2025</v>
      </c>
      <c r="B41" s="48" t="s">
        <v>374</v>
      </c>
      <c r="C41" s="48" t="s">
        <v>244</v>
      </c>
      <c r="D41" s="48" t="s">
        <v>143</v>
      </c>
      <c r="E41" s="48">
        <v>59</v>
      </c>
      <c r="F41" s="48">
        <v>54</v>
      </c>
      <c r="G41" s="48">
        <v>91.53</v>
      </c>
    </row>
    <row r="42" spans="1:7" x14ac:dyDescent="0.25">
      <c r="A42" s="47">
        <v>2025</v>
      </c>
      <c r="B42" s="48" t="s">
        <v>374</v>
      </c>
      <c r="C42" s="48" t="s">
        <v>238</v>
      </c>
      <c r="D42" s="48" t="s">
        <v>232</v>
      </c>
      <c r="E42" s="48">
        <v>44</v>
      </c>
      <c r="F42" s="48">
        <v>41</v>
      </c>
      <c r="G42" s="48">
        <v>93.18</v>
      </c>
    </row>
    <row r="43" spans="1:7" x14ac:dyDescent="0.25">
      <c r="A43" s="47">
        <v>2025</v>
      </c>
      <c r="B43" s="48" t="s">
        <v>374</v>
      </c>
      <c r="C43" s="48" t="s">
        <v>238</v>
      </c>
      <c r="D43" s="48" t="s">
        <v>233</v>
      </c>
      <c r="E43" s="48">
        <v>45</v>
      </c>
      <c r="F43" s="48">
        <v>42</v>
      </c>
      <c r="G43" s="48">
        <v>93.33</v>
      </c>
    </row>
    <row r="44" spans="1:7" x14ac:dyDescent="0.25">
      <c r="A44" s="47">
        <v>2025</v>
      </c>
      <c r="B44" s="48" t="s">
        <v>374</v>
      </c>
      <c r="C44" s="48" t="s">
        <v>238</v>
      </c>
      <c r="D44" s="48" t="s">
        <v>143</v>
      </c>
      <c r="E44" s="48">
        <v>89</v>
      </c>
      <c r="F44" s="48">
        <v>83</v>
      </c>
      <c r="G44" s="48">
        <v>93.26</v>
      </c>
    </row>
    <row r="45" spans="1:7" x14ac:dyDescent="0.25">
      <c r="A45" s="47">
        <v>2025</v>
      </c>
      <c r="B45" s="48" t="s">
        <v>374</v>
      </c>
      <c r="C45" s="48" t="s">
        <v>144</v>
      </c>
      <c r="D45" s="48" t="s">
        <v>373</v>
      </c>
      <c r="E45" s="48">
        <v>148</v>
      </c>
      <c r="F45" s="48">
        <v>137</v>
      </c>
      <c r="G45" s="48">
        <v>92.57</v>
      </c>
    </row>
  </sheetData>
  <autoFilter ref="A3:G45" xr:uid="{00000000-0009-0000-0000-000014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2" customWidth="1"/>
    <col min="3" max="3" width="14" customWidth="1"/>
    <col min="4" max="5" width="12" customWidth="1"/>
    <col min="6" max="6" width="10" customWidth="1"/>
  </cols>
  <sheetData>
    <row r="1" spans="1:6" ht="21.75" customHeight="1" x14ac:dyDescent="0.25">
      <c r="A1" s="2" t="s">
        <v>375</v>
      </c>
      <c r="B1" s="2"/>
      <c r="C1" s="2"/>
      <c r="D1" s="2"/>
      <c r="E1" s="2"/>
      <c r="F1" s="2"/>
    </row>
    <row r="2" spans="1:6" ht="15.75" customHeight="1" x14ac:dyDescent="0.25">
      <c r="A2" s="1" t="s">
        <v>376</v>
      </c>
      <c r="B2" s="1"/>
      <c r="C2" s="1"/>
      <c r="D2" s="1"/>
      <c r="E2" s="1"/>
      <c r="F2" s="1"/>
    </row>
    <row r="3" spans="1:6" x14ac:dyDescent="0.25">
      <c r="A3" s="42" t="s">
        <v>121</v>
      </c>
      <c r="B3" s="42" t="s">
        <v>64</v>
      </c>
      <c r="C3" s="42" t="s">
        <v>131</v>
      </c>
      <c r="D3" s="42" t="s">
        <v>122</v>
      </c>
      <c r="E3" s="42" t="s">
        <v>123</v>
      </c>
      <c r="F3" s="42" t="s">
        <v>132</v>
      </c>
    </row>
    <row r="4" spans="1:6" x14ac:dyDescent="0.25">
      <c r="A4" s="51">
        <v>2026</v>
      </c>
      <c r="B4" s="52" t="s">
        <v>377</v>
      </c>
      <c r="C4" s="52" t="s">
        <v>200</v>
      </c>
      <c r="D4" s="52">
        <v>2585</v>
      </c>
      <c r="E4" s="52">
        <v>853</v>
      </c>
      <c r="F4" s="52">
        <v>33</v>
      </c>
    </row>
    <row r="5" spans="1:6" ht="25.5" x14ac:dyDescent="0.25">
      <c r="A5" s="51">
        <v>2026</v>
      </c>
      <c r="B5" s="52" t="s">
        <v>377</v>
      </c>
      <c r="C5" s="52" t="s">
        <v>197</v>
      </c>
      <c r="D5" s="52">
        <v>1523</v>
      </c>
      <c r="E5" s="52">
        <v>1003</v>
      </c>
      <c r="F5" s="52">
        <v>65.86</v>
      </c>
    </row>
    <row r="6" spans="1:6" x14ac:dyDescent="0.25">
      <c r="A6" s="51">
        <v>2026</v>
      </c>
      <c r="B6" s="52" t="s">
        <v>377</v>
      </c>
      <c r="C6" s="52" t="s">
        <v>143</v>
      </c>
      <c r="D6" s="52">
        <v>4108</v>
      </c>
      <c r="E6" s="52">
        <v>1856</v>
      </c>
      <c r="F6" s="52">
        <v>45.18</v>
      </c>
    </row>
    <row r="7" spans="1:6" x14ac:dyDescent="0.25">
      <c r="A7" s="51">
        <v>2026</v>
      </c>
      <c r="B7" s="52" t="s">
        <v>377</v>
      </c>
      <c r="C7" s="52" t="s">
        <v>144</v>
      </c>
      <c r="D7" s="52">
        <v>4108</v>
      </c>
      <c r="E7" s="52">
        <v>1856</v>
      </c>
      <c r="F7" s="52">
        <v>45.18</v>
      </c>
    </row>
    <row r="8" spans="1:6" x14ac:dyDescent="0.25">
      <c r="A8" s="51">
        <v>2026</v>
      </c>
      <c r="B8" s="52" t="s">
        <v>378</v>
      </c>
      <c r="C8" s="52" t="s">
        <v>200</v>
      </c>
      <c r="D8" s="52">
        <v>567</v>
      </c>
      <c r="E8" s="52">
        <v>124</v>
      </c>
      <c r="F8" s="52">
        <v>21.87</v>
      </c>
    </row>
    <row r="9" spans="1:6" ht="25.5" x14ac:dyDescent="0.25">
      <c r="A9" s="51">
        <v>2026</v>
      </c>
      <c r="B9" s="52" t="s">
        <v>378</v>
      </c>
      <c r="C9" s="52" t="s">
        <v>197</v>
      </c>
      <c r="D9" s="52">
        <v>1325</v>
      </c>
      <c r="E9" s="52">
        <v>752</v>
      </c>
      <c r="F9" s="52">
        <v>56.75</v>
      </c>
    </row>
    <row r="10" spans="1:6" x14ac:dyDescent="0.25">
      <c r="A10" s="51">
        <v>2026</v>
      </c>
      <c r="B10" s="52" t="s">
        <v>378</v>
      </c>
      <c r="C10" s="52" t="s">
        <v>143</v>
      </c>
      <c r="D10" s="52">
        <v>1892</v>
      </c>
      <c r="E10" s="52">
        <v>876</v>
      </c>
      <c r="F10" s="52">
        <v>46.3</v>
      </c>
    </row>
    <row r="11" spans="1:6" x14ac:dyDescent="0.25">
      <c r="A11" s="51">
        <v>2026</v>
      </c>
      <c r="B11" s="52" t="s">
        <v>378</v>
      </c>
      <c r="C11" s="52" t="s">
        <v>144</v>
      </c>
      <c r="D11" s="52">
        <v>1892</v>
      </c>
      <c r="E11" s="52">
        <v>876</v>
      </c>
      <c r="F11" s="52">
        <v>46.3</v>
      </c>
    </row>
    <row r="12" spans="1:6" ht="25.5" x14ac:dyDescent="0.25">
      <c r="A12" s="51">
        <v>2026</v>
      </c>
      <c r="B12" s="52" t="s">
        <v>379</v>
      </c>
      <c r="C12" s="52" t="s">
        <v>200</v>
      </c>
      <c r="D12" s="52">
        <v>554</v>
      </c>
      <c r="E12" s="52">
        <v>95</v>
      </c>
      <c r="F12" s="52">
        <v>17.149999999999999</v>
      </c>
    </row>
    <row r="13" spans="1:6" ht="25.5" x14ac:dyDescent="0.25">
      <c r="A13" s="51">
        <v>2026</v>
      </c>
      <c r="B13" s="52" t="s">
        <v>379</v>
      </c>
      <c r="C13" s="52" t="s">
        <v>197</v>
      </c>
      <c r="D13" s="52">
        <v>18</v>
      </c>
      <c r="E13" s="52">
        <v>10</v>
      </c>
      <c r="F13" s="52">
        <v>55.56</v>
      </c>
    </row>
    <row r="14" spans="1:6" ht="25.5" x14ac:dyDescent="0.25">
      <c r="A14" s="51">
        <v>2026</v>
      </c>
      <c r="B14" s="52" t="s">
        <v>379</v>
      </c>
      <c r="C14" s="52" t="s">
        <v>143</v>
      </c>
      <c r="D14" s="52">
        <v>572</v>
      </c>
      <c r="E14" s="52">
        <v>105</v>
      </c>
      <c r="F14" s="52">
        <v>18.36</v>
      </c>
    </row>
    <row r="15" spans="1:6" ht="25.5" x14ac:dyDescent="0.25">
      <c r="A15" s="51">
        <v>2026</v>
      </c>
      <c r="B15" s="52" t="s">
        <v>379</v>
      </c>
      <c r="C15" s="52" t="s">
        <v>144</v>
      </c>
      <c r="D15" s="52">
        <v>572</v>
      </c>
      <c r="E15" s="52">
        <v>105</v>
      </c>
      <c r="F15" s="52">
        <v>18.36</v>
      </c>
    </row>
    <row r="16" spans="1:6" x14ac:dyDescent="0.25">
      <c r="A16" s="51">
        <v>2026</v>
      </c>
      <c r="B16" s="52" t="s">
        <v>380</v>
      </c>
      <c r="C16" s="52" t="s">
        <v>200</v>
      </c>
      <c r="D16" s="52">
        <v>172</v>
      </c>
      <c r="E16" s="52">
        <v>28</v>
      </c>
      <c r="F16" s="52">
        <v>16.28</v>
      </c>
    </row>
    <row r="17" spans="1:6" ht="25.5" x14ac:dyDescent="0.25">
      <c r="A17" s="51">
        <v>2026</v>
      </c>
      <c r="B17" s="52" t="s">
        <v>380</v>
      </c>
      <c r="C17" s="52" t="s">
        <v>197</v>
      </c>
      <c r="D17" s="52">
        <v>1053</v>
      </c>
      <c r="E17" s="52">
        <v>290</v>
      </c>
      <c r="F17" s="52">
        <v>27.54</v>
      </c>
    </row>
    <row r="18" spans="1:6" x14ac:dyDescent="0.25">
      <c r="A18" s="51">
        <v>2026</v>
      </c>
      <c r="B18" s="52" t="s">
        <v>380</v>
      </c>
      <c r="C18" s="52" t="s">
        <v>143</v>
      </c>
      <c r="D18" s="52">
        <v>1225</v>
      </c>
      <c r="E18" s="52">
        <v>318</v>
      </c>
      <c r="F18" s="52">
        <v>25.96</v>
      </c>
    </row>
    <row r="19" spans="1:6" x14ac:dyDescent="0.25">
      <c r="A19" s="51">
        <v>2026</v>
      </c>
      <c r="B19" s="52" t="s">
        <v>380</v>
      </c>
      <c r="C19" s="52" t="s">
        <v>144</v>
      </c>
      <c r="D19" s="52">
        <v>1225</v>
      </c>
      <c r="E19" s="52">
        <v>318</v>
      </c>
      <c r="F19" s="52">
        <v>25.96</v>
      </c>
    </row>
  </sheetData>
  <autoFilter ref="A3:F19" xr:uid="{00000000-0009-0000-0000-000015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2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34" customWidth="1"/>
    <col min="3" max="3" width="14" customWidth="1"/>
    <col min="4" max="4" width="12" customWidth="1"/>
    <col min="5" max="5" width="10" customWidth="1"/>
  </cols>
  <sheetData>
    <row r="1" spans="1:5" ht="21.75" customHeight="1" x14ac:dyDescent="0.25">
      <c r="A1" s="2" t="s">
        <v>381</v>
      </c>
      <c r="B1" s="2"/>
      <c r="C1" s="2"/>
      <c r="D1" s="2"/>
      <c r="E1" s="2"/>
    </row>
    <row r="2" spans="1:5" ht="15.75" customHeight="1" x14ac:dyDescent="0.25">
      <c r="A2" s="1" t="s">
        <v>382</v>
      </c>
      <c r="B2" s="1"/>
      <c r="C2" s="1"/>
      <c r="D2" s="1"/>
      <c r="E2" s="1"/>
    </row>
    <row r="3" spans="1:5" x14ac:dyDescent="0.25">
      <c r="A3" s="42" t="s">
        <v>121</v>
      </c>
      <c r="B3" s="42" t="s">
        <v>383</v>
      </c>
      <c r="C3" s="42" t="s">
        <v>122</v>
      </c>
      <c r="D3" s="42" t="s">
        <v>123</v>
      </c>
      <c r="E3" s="42" t="s">
        <v>132</v>
      </c>
    </row>
    <row r="4" spans="1:5" x14ac:dyDescent="0.25">
      <c r="A4" s="47">
        <v>2025</v>
      </c>
      <c r="B4" s="48" t="s">
        <v>205</v>
      </c>
      <c r="C4" s="48">
        <v>914</v>
      </c>
      <c r="D4" s="48">
        <v>842</v>
      </c>
      <c r="E4" s="48">
        <v>92.12</v>
      </c>
    </row>
    <row r="5" spans="1:5" x14ac:dyDescent="0.25">
      <c r="A5" s="47">
        <v>2025</v>
      </c>
      <c r="B5" s="48" t="s">
        <v>206</v>
      </c>
      <c r="C5" s="48">
        <v>58</v>
      </c>
      <c r="D5" s="48">
        <v>47</v>
      </c>
      <c r="E5" s="48">
        <v>81.03</v>
      </c>
    </row>
    <row r="6" spans="1:5" x14ac:dyDescent="0.25">
      <c r="A6" s="47">
        <v>2025</v>
      </c>
      <c r="B6" s="48" t="s">
        <v>207</v>
      </c>
      <c r="C6" s="48">
        <v>116628</v>
      </c>
      <c r="D6" s="48">
        <v>94880</v>
      </c>
      <c r="E6" s="48">
        <v>81.349999999999994</v>
      </c>
    </row>
    <row r="7" spans="1:5" x14ac:dyDescent="0.25">
      <c r="A7" s="47">
        <v>2025</v>
      </c>
      <c r="B7" s="48" t="s">
        <v>384</v>
      </c>
      <c r="C7" s="48">
        <v>33</v>
      </c>
      <c r="D7" s="48">
        <v>30</v>
      </c>
      <c r="E7" s="48">
        <v>90.91</v>
      </c>
    </row>
    <row r="8" spans="1:5" x14ac:dyDescent="0.25">
      <c r="A8" s="47">
        <v>2025</v>
      </c>
      <c r="B8" s="48" t="s">
        <v>208</v>
      </c>
      <c r="C8" s="48">
        <v>199656</v>
      </c>
      <c r="D8" s="48">
        <v>133618</v>
      </c>
      <c r="E8" s="48">
        <v>66.92</v>
      </c>
    </row>
    <row r="9" spans="1:5" x14ac:dyDescent="0.25">
      <c r="A9" s="47">
        <v>2025</v>
      </c>
      <c r="B9" s="48" t="s">
        <v>209</v>
      </c>
      <c r="C9" s="48">
        <v>4102</v>
      </c>
      <c r="D9" s="48">
        <v>2812</v>
      </c>
      <c r="E9" s="48">
        <v>68.55</v>
      </c>
    </row>
    <row r="10" spans="1:5" x14ac:dyDescent="0.25">
      <c r="A10" s="47">
        <v>2025</v>
      </c>
      <c r="B10" s="48" t="s">
        <v>385</v>
      </c>
      <c r="C10" s="48">
        <v>115</v>
      </c>
      <c r="D10" s="48">
        <v>101</v>
      </c>
      <c r="E10" s="48">
        <v>87.83</v>
      </c>
    </row>
    <row r="11" spans="1:5" x14ac:dyDescent="0.25">
      <c r="A11" s="47">
        <v>2025</v>
      </c>
      <c r="B11" s="48" t="s">
        <v>386</v>
      </c>
      <c r="C11" s="48">
        <v>169</v>
      </c>
      <c r="D11" s="48">
        <v>90</v>
      </c>
      <c r="E11" s="48">
        <v>53.25</v>
      </c>
    </row>
    <row r="12" spans="1:5" x14ac:dyDescent="0.25">
      <c r="A12" s="47">
        <v>2025</v>
      </c>
      <c r="B12" s="48" t="s">
        <v>387</v>
      </c>
      <c r="C12" s="48">
        <v>95</v>
      </c>
      <c r="D12" s="48">
        <v>38</v>
      </c>
      <c r="E12" s="48">
        <v>40</v>
      </c>
    </row>
    <row r="13" spans="1:5" x14ac:dyDescent="0.25">
      <c r="A13" s="47">
        <v>2025</v>
      </c>
      <c r="B13" s="48" t="s">
        <v>388</v>
      </c>
      <c r="C13" s="48">
        <v>92094</v>
      </c>
      <c r="D13" s="48">
        <v>69117</v>
      </c>
      <c r="E13" s="48">
        <v>75.05</v>
      </c>
    </row>
    <row r="14" spans="1:5" ht="25.5" x14ac:dyDescent="0.25">
      <c r="A14" s="47">
        <v>2025</v>
      </c>
      <c r="B14" s="48" t="s">
        <v>389</v>
      </c>
      <c r="C14" s="48">
        <v>87</v>
      </c>
      <c r="D14" s="48">
        <v>84</v>
      </c>
      <c r="E14" s="48">
        <v>96.55</v>
      </c>
    </row>
    <row r="15" spans="1:5" x14ac:dyDescent="0.25">
      <c r="A15" s="47">
        <v>2025</v>
      </c>
      <c r="B15" s="48" t="s">
        <v>211</v>
      </c>
      <c r="C15" s="48">
        <v>979</v>
      </c>
      <c r="D15" s="48">
        <v>829</v>
      </c>
      <c r="E15" s="48">
        <v>84.68</v>
      </c>
    </row>
    <row r="16" spans="1:5" x14ac:dyDescent="0.25">
      <c r="A16" s="47">
        <v>2025</v>
      </c>
      <c r="B16" s="48" t="s">
        <v>390</v>
      </c>
      <c r="C16" s="48">
        <v>24932</v>
      </c>
      <c r="D16" s="48">
        <v>22102</v>
      </c>
      <c r="E16" s="48">
        <v>88.65</v>
      </c>
    </row>
    <row r="17" spans="1:5" x14ac:dyDescent="0.25">
      <c r="A17" s="47">
        <v>2025</v>
      </c>
      <c r="B17" s="48" t="s">
        <v>391</v>
      </c>
      <c r="C17" s="48">
        <v>324</v>
      </c>
      <c r="D17" s="48">
        <v>188</v>
      </c>
      <c r="E17" s="48">
        <v>58.02</v>
      </c>
    </row>
    <row r="18" spans="1:5" x14ac:dyDescent="0.25">
      <c r="A18" s="47">
        <v>2025</v>
      </c>
      <c r="B18" s="48" t="s">
        <v>392</v>
      </c>
      <c r="C18" s="48">
        <v>9182</v>
      </c>
      <c r="D18" s="48">
        <v>8369</v>
      </c>
      <c r="E18" s="48">
        <v>91.15</v>
      </c>
    </row>
    <row r="19" spans="1:5" x14ac:dyDescent="0.25">
      <c r="A19" s="47">
        <v>2025</v>
      </c>
      <c r="B19" s="48" t="s">
        <v>212</v>
      </c>
      <c r="C19" s="48">
        <v>270518</v>
      </c>
      <c r="D19" s="48">
        <v>227160</v>
      </c>
      <c r="E19" s="48">
        <v>83.97</v>
      </c>
    </row>
    <row r="20" spans="1:5" x14ac:dyDescent="0.25">
      <c r="A20" s="47">
        <v>2025</v>
      </c>
      <c r="B20" s="48" t="s">
        <v>213</v>
      </c>
      <c r="C20" s="48">
        <v>4760</v>
      </c>
      <c r="D20" s="48">
        <v>4338</v>
      </c>
      <c r="E20" s="48">
        <v>91.13</v>
      </c>
    </row>
    <row r="21" spans="1:5" x14ac:dyDescent="0.25">
      <c r="A21" s="47">
        <v>2025</v>
      </c>
      <c r="B21" s="48" t="s">
        <v>393</v>
      </c>
      <c r="C21" s="48">
        <v>5</v>
      </c>
      <c r="D21" s="48">
        <v>2</v>
      </c>
      <c r="E21" s="48">
        <v>40</v>
      </c>
    </row>
    <row r="22" spans="1:5" x14ac:dyDescent="0.25">
      <c r="A22" s="47">
        <v>2025</v>
      </c>
      <c r="B22" s="48" t="s">
        <v>214</v>
      </c>
      <c r="C22" s="48">
        <v>261</v>
      </c>
      <c r="D22" s="48">
        <v>238</v>
      </c>
      <c r="E22" s="48">
        <v>91.19</v>
      </c>
    </row>
    <row r="23" spans="1:5" x14ac:dyDescent="0.25">
      <c r="A23" s="47">
        <v>2025</v>
      </c>
      <c r="B23" s="48" t="s">
        <v>394</v>
      </c>
      <c r="C23" s="48">
        <v>70249</v>
      </c>
      <c r="D23" s="48">
        <v>50010</v>
      </c>
      <c r="E23" s="48">
        <v>71.19</v>
      </c>
    </row>
    <row r="24" spans="1:5" x14ac:dyDescent="0.25">
      <c r="A24" s="47">
        <v>2025</v>
      </c>
      <c r="B24" s="48" t="s">
        <v>216</v>
      </c>
      <c r="C24" s="48">
        <v>70337</v>
      </c>
      <c r="D24" s="48">
        <v>44652</v>
      </c>
      <c r="E24" s="48">
        <v>63.48</v>
      </c>
    </row>
    <row r="25" spans="1:5" x14ac:dyDescent="0.25">
      <c r="A25" s="47">
        <v>2025</v>
      </c>
      <c r="B25" s="48" t="s">
        <v>395</v>
      </c>
      <c r="C25" s="48">
        <v>9</v>
      </c>
      <c r="D25" s="48">
        <v>3</v>
      </c>
      <c r="E25" s="48">
        <v>33.33</v>
      </c>
    </row>
    <row r="26" spans="1:5" x14ac:dyDescent="0.25">
      <c r="A26" s="47">
        <v>2025</v>
      </c>
      <c r="B26" s="48" t="s">
        <v>217</v>
      </c>
      <c r="C26" s="48">
        <v>6</v>
      </c>
      <c r="D26" s="48">
        <v>4</v>
      </c>
      <c r="E26" s="48">
        <v>66.67</v>
      </c>
    </row>
    <row r="27" spans="1:5" ht="25.5" x14ac:dyDescent="0.25">
      <c r="A27" s="47">
        <v>2025</v>
      </c>
      <c r="B27" s="48" t="s">
        <v>396</v>
      </c>
      <c r="C27" s="48">
        <v>13</v>
      </c>
      <c r="D27" s="48">
        <v>6</v>
      </c>
      <c r="E27" s="48">
        <v>46.15</v>
      </c>
    </row>
    <row r="28" spans="1:5" x14ac:dyDescent="0.25">
      <c r="A28" s="47">
        <v>2025</v>
      </c>
      <c r="B28" s="48" t="s">
        <v>218</v>
      </c>
      <c r="C28" s="48">
        <v>15676</v>
      </c>
      <c r="D28" s="48">
        <v>13471</v>
      </c>
      <c r="E28" s="48">
        <v>85.93</v>
      </c>
    </row>
    <row r="29" spans="1:5" x14ac:dyDescent="0.25">
      <c r="A29" s="47">
        <v>2025</v>
      </c>
      <c r="B29" s="48" t="s">
        <v>397</v>
      </c>
      <c r="C29" s="48">
        <v>47</v>
      </c>
      <c r="D29" s="48">
        <v>9</v>
      </c>
      <c r="E29" s="48">
        <v>19.149999999999999</v>
      </c>
    </row>
    <row r="30" spans="1:5" x14ac:dyDescent="0.25">
      <c r="A30" s="47">
        <v>2025</v>
      </c>
      <c r="B30" s="48" t="s">
        <v>220</v>
      </c>
      <c r="C30" s="48">
        <v>129</v>
      </c>
      <c r="D30" s="48">
        <v>103</v>
      </c>
      <c r="E30" s="48">
        <v>79.84</v>
      </c>
    </row>
    <row r="31" spans="1:5" x14ac:dyDescent="0.25">
      <c r="A31" s="47">
        <v>2025</v>
      </c>
      <c r="B31" s="48" t="s">
        <v>398</v>
      </c>
      <c r="C31" s="48">
        <v>60391</v>
      </c>
      <c r="D31" s="48">
        <v>51870</v>
      </c>
      <c r="E31" s="48">
        <v>85.89</v>
      </c>
    </row>
    <row r="32" spans="1:5" x14ac:dyDescent="0.25">
      <c r="A32" s="47">
        <v>2025</v>
      </c>
      <c r="B32" s="48" t="s">
        <v>399</v>
      </c>
      <c r="C32" s="48">
        <v>265104</v>
      </c>
      <c r="D32" s="48">
        <v>229275</v>
      </c>
      <c r="E32" s="48">
        <v>86.48</v>
      </c>
    </row>
    <row r="33" spans="1:5" x14ac:dyDescent="0.25">
      <c r="A33" s="47">
        <v>2025</v>
      </c>
      <c r="B33" s="48" t="s">
        <v>223</v>
      </c>
      <c r="C33" s="48">
        <v>199541</v>
      </c>
      <c r="D33" s="48">
        <v>132169</v>
      </c>
      <c r="E33" s="48">
        <v>66.239999999999995</v>
      </c>
    </row>
    <row r="34" spans="1:5" x14ac:dyDescent="0.25">
      <c r="A34" s="47">
        <v>2025</v>
      </c>
      <c r="B34" s="48" t="s">
        <v>400</v>
      </c>
      <c r="C34" s="48">
        <v>640</v>
      </c>
      <c r="D34" s="48">
        <v>611</v>
      </c>
      <c r="E34" s="48">
        <v>95.47</v>
      </c>
    </row>
    <row r="35" spans="1:5" x14ac:dyDescent="0.25">
      <c r="A35" s="47">
        <v>2025</v>
      </c>
      <c r="B35" s="48" t="s">
        <v>227</v>
      </c>
      <c r="C35" s="48">
        <v>199532</v>
      </c>
      <c r="D35" s="48">
        <v>138359</v>
      </c>
      <c r="E35" s="48">
        <v>69.34</v>
      </c>
    </row>
    <row r="36" spans="1:5" x14ac:dyDescent="0.25">
      <c r="A36" s="47">
        <v>2025</v>
      </c>
      <c r="B36" s="48" t="s">
        <v>401</v>
      </c>
      <c r="C36" s="48">
        <v>1</v>
      </c>
      <c r="D36" s="48">
        <v>1</v>
      </c>
      <c r="E36" s="48">
        <v>100</v>
      </c>
    </row>
    <row r="37" spans="1:5" x14ac:dyDescent="0.25">
      <c r="A37" s="47">
        <v>2025</v>
      </c>
      <c r="B37" s="48" t="s">
        <v>402</v>
      </c>
      <c r="C37" s="48">
        <v>4410</v>
      </c>
      <c r="D37" s="48">
        <v>2970</v>
      </c>
      <c r="E37" s="48">
        <v>67.349999999999994</v>
      </c>
    </row>
    <row r="38" spans="1:5" x14ac:dyDescent="0.25">
      <c r="A38" s="47">
        <v>2025</v>
      </c>
      <c r="B38" s="48" t="s">
        <v>403</v>
      </c>
      <c r="C38" s="48">
        <v>8642</v>
      </c>
      <c r="D38" s="48">
        <v>7535</v>
      </c>
      <c r="E38" s="48">
        <v>87.19</v>
      </c>
    </row>
    <row r="39" spans="1:5" x14ac:dyDescent="0.25">
      <c r="A39" s="47">
        <v>2025</v>
      </c>
      <c r="B39" s="48" t="s">
        <v>404</v>
      </c>
      <c r="C39" s="48">
        <v>265502</v>
      </c>
      <c r="D39" s="48">
        <v>246534</v>
      </c>
      <c r="E39" s="48">
        <v>92.86</v>
      </c>
    </row>
    <row r="40" spans="1:5" x14ac:dyDescent="0.25">
      <c r="A40" s="47">
        <v>2025</v>
      </c>
      <c r="B40" s="48" t="s">
        <v>228</v>
      </c>
      <c r="C40" s="48">
        <v>269973</v>
      </c>
      <c r="D40" s="48">
        <v>246975</v>
      </c>
      <c r="E40" s="48">
        <v>91.48</v>
      </c>
    </row>
    <row r="41" spans="1:5" x14ac:dyDescent="0.25">
      <c r="A41" s="47">
        <v>2025</v>
      </c>
      <c r="B41" s="48" t="s">
        <v>405</v>
      </c>
      <c r="C41" s="48">
        <v>2</v>
      </c>
      <c r="D41" s="48">
        <v>0</v>
      </c>
      <c r="E41" s="48">
        <v>0</v>
      </c>
    </row>
    <row r="42" spans="1:5" ht="25.5" x14ac:dyDescent="0.25">
      <c r="A42" s="47">
        <v>2025</v>
      </c>
      <c r="B42" s="48" t="s">
        <v>406</v>
      </c>
      <c r="C42" s="48">
        <v>171</v>
      </c>
      <c r="D42" s="48">
        <v>157</v>
      </c>
      <c r="E42" s="48">
        <v>91.81</v>
      </c>
    </row>
  </sheetData>
  <autoFilter ref="A3:E42" xr:uid="{00000000-0009-0000-0000-000016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8" customWidth="1"/>
    <col min="3" max="4" width="12" customWidth="1"/>
    <col min="5" max="5" width="10" customWidth="1"/>
  </cols>
  <sheetData>
    <row r="1" spans="1:5" ht="21.75" customHeight="1" x14ac:dyDescent="0.25">
      <c r="A1" s="2" t="s">
        <v>407</v>
      </c>
      <c r="B1" s="2"/>
      <c r="C1" s="2"/>
      <c r="D1" s="2"/>
      <c r="E1" s="2"/>
    </row>
    <row r="2" spans="1:5" ht="15.75" customHeight="1" x14ac:dyDescent="0.25">
      <c r="A2" s="1" t="s">
        <v>408</v>
      </c>
      <c r="B2" s="1"/>
      <c r="C2" s="1"/>
      <c r="D2" s="1"/>
      <c r="E2" s="1"/>
    </row>
    <row r="3" spans="1:5" x14ac:dyDescent="0.25">
      <c r="A3" s="42" t="s">
        <v>121</v>
      </c>
      <c r="B3" s="42" t="s">
        <v>131</v>
      </c>
      <c r="C3" s="42" t="s">
        <v>122</v>
      </c>
      <c r="D3" s="42" t="s">
        <v>123</v>
      </c>
      <c r="E3" s="42" t="s">
        <v>132</v>
      </c>
    </row>
    <row r="4" spans="1:5" x14ac:dyDescent="0.25">
      <c r="A4" s="51">
        <v>2026</v>
      </c>
      <c r="B4" s="52" t="s">
        <v>139</v>
      </c>
      <c r="C4" s="52">
        <v>29800</v>
      </c>
      <c r="D4" s="52">
        <v>6551</v>
      </c>
      <c r="E4" s="52">
        <v>21.98</v>
      </c>
    </row>
    <row r="5" spans="1:5" x14ac:dyDescent="0.25">
      <c r="A5" s="51">
        <v>2026</v>
      </c>
      <c r="B5" s="52" t="s">
        <v>141</v>
      </c>
      <c r="C5" s="52">
        <v>11671</v>
      </c>
      <c r="D5" s="52">
        <v>6275</v>
      </c>
      <c r="E5" s="52">
        <v>53.77</v>
      </c>
    </row>
    <row r="6" spans="1:5" x14ac:dyDescent="0.25">
      <c r="A6" s="51">
        <v>2026</v>
      </c>
      <c r="B6" s="52" t="s">
        <v>234</v>
      </c>
      <c r="C6" s="52">
        <v>41471</v>
      </c>
      <c r="D6" s="52">
        <v>12826</v>
      </c>
      <c r="E6" s="52">
        <v>30.93</v>
      </c>
    </row>
    <row r="7" spans="1:5" x14ac:dyDescent="0.25">
      <c r="A7" s="47">
        <v>2025</v>
      </c>
      <c r="B7" s="48" t="s">
        <v>139</v>
      </c>
      <c r="C7" s="48">
        <v>34292</v>
      </c>
      <c r="D7" s="48">
        <v>11653</v>
      </c>
      <c r="E7" s="48">
        <v>33.979999999999997</v>
      </c>
    </row>
    <row r="8" spans="1:5" x14ac:dyDescent="0.25">
      <c r="A8" s="47">
        <v>2025</v>
      </c>
      <c r="B8" s="48" t="s">
        <v>141</v>
      </c>
      <c r="C8" s="48">
        <v>12223</v>
      </c>
      <c r="D8" s="48">
        <v>8112</v>
      </c>
      <c r="E8" s="48">
        <v>66.37</v>
      </c>
    </row>
    <row r="9" spans="1:5" x14ac:dyDescent="0.25">
      <c r="A9" s="47">
        <v>2025</v>
      </c>
      <c r="B9" s="48" t="s">
        <v>234</v>
      </c>
      <c r="C9" s="48">
        <v>46515</v>
      </c>
      <c r="D9" s="48">
        <v>19765</v>
      </c>
      <c r="E9" s="48">
        <v>42.49</v>
      </c>
    </row>
  </sheetData>
  <autoFilter ref="A3:E9" xr:uid="{00000000-0009-0000-0000-000017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30" customWidth="1"/>
    <col min="3" max="4" width="12" customWidth="1"/>
    <col min="5" max="5" width="10" customWidth="1"/>
  </cols>
  <sheetData>
    <row r="1" spans="1:5" ht="21.75" customHeight="1" x14ac:dyDescent="0.25">
      <c r="A1" s="2" t="s">
        <v>409</v>
      </c>
      <c r="B1" s="2"/>
      <c r="C1" s="2"/>
      <c r="D1" s="2"/>
      <c r="E1" s="2"/>
    </row>
    <row r="3" spans="1:5" x14ac:dyDescent="0.25">
      <c r="A3" s="42" t="s">
        <v>121</v>
      </c>
      <c r="B3" s="42" t="s">
        <v>131</v>
      </c>
      <c r="C3" s="42" t="s">
        <v>122</v>
      </c>
      <c r="D3" s="42" t="s">
        <v>123</v>
      </c>
      <c r="E3" s="42" t="s">
        <v>132</v>
      </c>
    </row>
    <row r="4" spans="1:5" x14ac:dyDescent="0.25">
      <c r="A4" s="51">
        <v>2026</v>
      </c>
      <c r="B4" s="52" t="s">
        <v>139</v>
      </c>
      <c r="C4" s="52">
        <v>494</v>
      </c>
      <c r="D4" s="52">
        <v>19</v>
      </c>
      <c r="E4" s="52">
        <v>3.85</v>
      </c>
    </row>
    <row r="5" spans="1:5" x14ac:dyDescent="0.25">
      <c r="A5" s="51">
        <v>2026</v>
      </c>
      <c r="B5" s="52" t="s">
        <v>141</v>
      </c>
      <c r="C5" s="52">
        <v>2299</v>
      </c>
      <c r="D5" s="52">
        <v>747</v>
      </c>
      <c r="E5" s="52">
        <v>32.49</v>
      </c>
    </row>
    <row r="6" spans="1:5" x14ac:dyDescent="0.25">
      <c r="A6" s="51">
        <v>2026</v>
      </c>
      <c r="B6" s="52" t="s">
        <v>140</v>
      </c>
      <c r="C6" s="52">
        <v>1323</v>
      </c>
      <c r="D6" s="52">
        <v>299</v>
      </c>
      <c r="E6" s="52">
        <v>22.6</v>
      </c>
    </row>
    <row r="7" spans="1:5" x14ac:dyDescent="0.25">
      <c r="A7" s="51">
        <v>2026</v>
      </c>
      <c r="B7" s="52" t="s">
        <v>142</v>
      </c>
      <c r="C7" s="52">
        <v>349</v>
      </c>
      <c r="D7" s="52">
        <v>128</v>
      </c>
      <c r="E7" s="52">
        <v>36.68</v>
      </c>
    </row>
    <row r="8" spans="1:5" x14ac:dyDescent="0.25">
      <c r="A8" s="51">
        <v>2026</v>
      </c>
      <c r="B8" s="52" t="s">
        <v>234</v>
      </c>
      <c r="C8" s="52">
        <v>4465</v>
      </c>
      <c r="D8" s="52">
        <v>1193</v>
      </c>
      <c r="E8" s="52">
        <v>26.72</v>
      </c>
    </row>
    <row r="9" spans="1:5" x14ac:dyDescent="0.25">
      <c r="A9" s="51">
        <v>2026</v>
      </c>
      <c r="B9" s="52" t="s">
        <v>410</v>
      </c>
      <c r="C9" s="52">
        <v>45936</v>
      </c>
      <c r="D9" s="52">
        <v>14019</v>
      </c>
      <c r="E9" s="52">
        <v>30.52</v>
      </c>
    </row>
    <row r="10" spans="1:5" x14ac:dyDescent="0.25">
      <c r="A10" s="47">
        <v>2025</v>
      </c>
      <c r="B10" s="48" t="s">
        <v>139</v>
      </c>
      <c r="C10" s="48">
        <v>228</v>
      </c>
      <c r="D10" s="48">
        <v>15</v>
      </c>
      <c r="E10" s="48">
        <v>6.58</v>
      </c>
    </row>
    <row r="11" spans="1:5" x14ac:dyDescent="0.25">
      <c r="A11" s="47">
        <v>2025</v>
      </c>
      <c r="B11" s="48" t="s">
        <v>141</v>
      </c>
      <c r="C11" s="48">
        <v>2167</v>
      </c>
      <c r="D11" s="48">
        <v>1012</v>
      </c>
      <c r="E11" s="48">
        <v>46.7</v>
      </c>
    </row>
    <row r="12" spans="1:5" x14ac:dyDescent="0.25">
      <c r="A12" s="47">
        <v>2025</v>
      </c>
      <c r="B12" s="48" t="s">
        <v>140</v>
      </c>
      <c r="C12" s="48">
        <v>2267</v>
      </c>
      <c r="D12" s="48">
        <v>453</v>
      </c>
      <c r="E12" s="48">
        <v>19.98</v>
      </c>
    </row>
    <row r="13" spans="1:5" x14ac:dyDescent="0.25">
      <c r="A13" s="47">
        <v>2025</v>
      </c>
      <c r="B13" s="48" t="s">
        <v>142</v>
      </c>
      <c r="C13" s="48">
        <v>582</v>
      </c>
      <c r="D13" s="48">
        <v>244</v>
      </c>
      <c r="E13" s="48">
        <v>41.92</v>
      </c>
    </row>
    <row r="14" spans="1:5" x14ac:dyDescent="0.25">
      <c r="A14" s="47">
        <v>2025</v>
      </c>
      <c r="B14" s="48" t="s">
        <v>234</v>
      </c>
      <c r="C14" s="48">
        <v>5244</v>
      </c>
      <c r="D14" s="48">
        <v>1724</v>
      </c>
      <c r="E14" s="48">
        <v>32.880000000000003</v>
      </c>
    </row>
    <row r="15" spans="1:5" x14ac:dyDescent="0.25">
      <c r="A15" s="47">
        <v>2025</v>
      </c>
      <c r="B15" s="48" t="s">
        <v>410</v>
      </c>
      <c r="C15" s="48">
        <v>51759</v>
      </c>
      <c r="D15" s="48">
        <v>21489</v>
      </c>
      <c r="E15" s="48">
        <v>41.52</v>
      </c>
    </row>
  </sheetData>
  <autoFilter ref="A3:E15" xr:uid="{00000000-0009-0000-0000-000018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3" width="14" customWidth="1"/>
    <col min="4" max="4" width="10" customWidth="1"/>
  </cols>
  <sheetData>
    <row r="1" spans="1:4" ht="21.75" customHeight="1" x14ac:dyDescent="0.25">
      <c r="A1" s="2" t="s">
        <v>411</v>
      </c>
      <c r="B1" s="2"/>
      <c r="C1" s="2"/>
      <c r="D1" s="2"/>
    </row>
    <row r="2" spans="1:4" ht="15.75" customHeight="1" x14ac:dyDescent="0.25">
      <c r="A2" s="1" t="s">
        <v>412</v>
      </c>
      <c r="B2" s="1"/>
      <c r="C2" s="1"/>
      <c r="D2" s="1"/>
    </row>
    <row r="3" spans="1:4" x14ac:dyDescent="0.25">
      <c r="A3" s="42" t="s">
        <v>413</v>
      </c>
      <c r="B3" s="42" t="s">
        <v>122</v>
      </c>
      <c r="C3" s="42" t="s">
        <v>123</v>
      </c>
      <c r="D3" s="42" t="s">
        <v>132</v>
      </c>
    </row>
    <row r="4" spans="1:4" x14ac:dyDescent="0.25">
      <c r="A4" s="51" t="s">
        <v>414</v>
      </c>
      <c r="B4" s="52">
        <v>45936</v>
      </c>
      <c r="C4" s="52">
        <v>14019</v>
      </c>
      <c r="D4" s="52">
        <v>30.52</v>
      </c>
    </row>
    <row r="5" spans="1:4" x14ac:dyDescent="0.25">
      <c r="A5" s="51" t="s">
        <v>415</v>
      </c>
      <c r="B5" s="52">
        <v>51138</v>
      </c>
      <c r="C5" s="52">
        <v>23859</v>
      </c>
      <c r="D5" s="52">
        <v>46.66</v>
      </c>
    </row>
    <row r="6" spans="1:4" x14ac:dyDescent="0.25">
      <c r="A6" s="51" t="s">
        <v>144</v>
      </c>
      <c r="B6" s="52">
        <v>97074</v>
      </c>
      <c r="C6" s="52">
        <v>37878</v>
      </c>
      <c r="D6" s="52">
        <v>39.01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5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0" customWidth="1"/>
    <col min="2" max="2" width="7" customWidth="1"/>
    <col min="3" max="4" width="12" customWidth="1"/>
    <col min="5" max="5" width="10" customWidth="1"/>
  </cols>
  <sheetData>
    <row r="1" spans="1:5" ht="21.75" customHeight="1" x14ac:dyDescent="0.25">
      <c r="A1" s="2" t="s">
        <v>416</v>
      </c>
      <c r="B1" s="2"/>
      <c r="C1" s="2"/>
      <c r="D1" s="2"/>
      <c r="E1" s="2"/>
    </row>
    <row r="3" spans="1:5" x14ac:dyDescent="0.25">
      <c r="A3" s="42" t="s">
        <v>145</v>
      </c>
      <c r="B3" s="42" t="s">
        <v>121</v>
      </c>
      <c r="C3" s="42" t="s">
        <v>122</v>
      </c>
      <c r="D3" s="42" t="s">
        <v>123</v>
      </c>
      <c r="E3" s="42" t="s">
        <v>132</v>
      </c>
    </row>
    <row r="4" spans="1:5" x14ac:dyDescent="0.25">
      <c r="A4" s="51" t="s">
        <v>147</v>
      </c>
      <c r="B4" s="52">
        <v>2026</v>
      </c>
      <c r="C4" s="52">
        <v>25</v>
      </c>
      <c r="D4" s="52">
        <v>13</v>
      </c>
      <c r="E4" s="52">
        <v>52</v>
      </c>
    </row>
    <row r="5" spans="1:5" x14ac:dyDescent="0.25">
      <c r="A5" s="47" t="s">
        <v>147</v>
      </c>
      <c r="B5" s="48">
        <v>2025</v>
      </c>
      <c r="C5" s="48">
        <v>59</v>
      </c>
      <c r="D5" s="48">
        <v>50</v>
      </c>
      <c r="E5" s="48">
        <v>84.75</v>
      </c>
    </row>
    <row r="6" spans="1:5" x14ac:dyDescent="0.25">
      <c r="A6" s="51" t="s">
        <v>149</v>
      </c>
      <c r="B6" s="52">
        <v>2026</v>
      </c>
      <c r="C6" s="52">
        <v>1593</v>
      </c>
      <c r="D6" s="52">
        <v>1390</v>
      </c>
      <c r="E6" s="52">
        <v>87.26</v>
      </c>
    </row>
    <row r="7" spans="1:5" x14ac:dyDescent="0.25">
      <c r="A7" s="47" t="s">
        <v>149</v>
      </c>
      <c r="B7" s="48">
        <v>2025</v>
      </c>
      <c r="C7" s="48">
        <v>2293</v>
      </c>
      <c r="D7" s="48">
        <v>2043</v>
      </c>
      <c r="E7" s="48">
        <v>89.1</v>
      </c>
    </row>
    <row r="8" spans="1:5" x14ac:dyDescent="0.25">
      <c r="A8" s="51" t="s">
        <v>151</v>
      </c>
      <c r="B8" s="52">
        <v>2026</v>
      </c>
      <c r="C8" s="52">
        <v>45665</v>
      </c>
      <c r="D8" s="52">
        <v>24861</v>
      </c>
      <c r="E8" s="52">
        <v>54.44</v>
      </c>
    </row>
    <row r="9" spans="1:5" x14ac:dyDescent="0.25">
      <c r="A9" s="47" t="s">
        <v>151</v>
      </c>
      <c r="B9" s="48">
        <v>2025</v>
      </c>
      <c r="C9" s="48">
        <v>46110</v>
      </c>
      <c r="D9" s="48">
        <v>33674</v>
      </c>
      <c r="E9" s="48">
        <v>73.03</v>
      </c>
    </row>
    <row r="10" spans="1:5" x14ac:dyDescent="0.25">
      <c r="A10" s="51" t="s">
        <v>153</v>
      </c>
      <c r="B10" s="52">
        <v>2026</v>
      </c>
      <c r="C10" s="52">
        <v>48860</v>
      </c>
      <c r="D10" s="52">
        <v>29492</v>
      </c>
      <c r="E10" s="52">
        <v>60.36</v>
      </c>
    </row>
    <row r="11" spans="1:5" x14ac:dyDescent="0.25">
      <c r="A11" s="47" t="s">
        <v>153</v>
      </c>
      <c r="B11" s="48">
        <v>2025</v>
      </c>
      <c r="C11" s="48">
        <v>47673</v>
      </c>
      <c r="D11" s="48">
        <v>32141</v>
      </c>
      <c r="E11" s="48">
        <v>67.42</v>
      </c>
    </row>
    <row r="12" spans="1:5" x14ac:dyDescent="0.25">
      <c r="A12" s="51" t="s">
        <v>155</v>
      </c>
      <c r="B12" s="52">
        <v>2026</v>
      </c>
      <c r="C12" s="52">
        <v>731</v>
      </c>
      <c r="D12" s="52">
        <v>605</v>
      </c>
      <c r="E12" s="52">
        <v>82.76</v>
      </c>
    </row>
    <row r="13" spans="1:5" x14ac:dyDescent="0.25">
      <c r="A13" s="47" t="s">
        <v>155</v>
      </c>
      <c r="B13" s="48">
        <v>2025</v>
      </c>
      <c r="C13" s="48">
        <v>674</v>
      </c>
      <c r="D13" s="48">
        <v>608</v>
      </c>
      <c r="E13" s="48">
        <v>90.21</v>
      </c>
    </row>
    <row r="14" spans="1:5" x14ac:dyDescent="0.25">
      <c r="A14" s="51" t="s">
        <v>157</v>
      </c>
      <c r="B14" s="52">
        <v>2026</v>
      </c>
      <c r="C14" s="52">
        <v>2227</v>
      </c>
      <c r="D14" s="52">
        <v>1072</v>
      </c>
      <c r="E14" s="52">
        <v>48.14</v>
      </c>
    </row>
    <row r="15" spans="1:5" x14ac:dyDescent="0.25">
      <c r="A15" s="47" t="s">
        <v>157</v>
      </c>
      <c r="B15" s="48">
        <v>2025</v>
      </c>
      <c r="C15" s="48">
        <v>2016</v>
      </c>
      <c r="D15" s="48">
        <v>1409</v>
      </c>
      <c r="E15" s="48">
        <v>69.89</v>
      </c>
    </row>
    <row r="16" spans="1:5" x14ac:dyDescent="0.25">
      <c r="A16" s="51" t="s">
        <v>417</v>
      </c>
      <c r="B16" s="52">
        <v>2026</v>
      </c>
      <c r="C16" s="52">
        <v>11</v>
      </c>
      <c r="D16" s="52">
        <v>11</v>
      </c>
      <c r="E16" s="52">
        <v>100</v>
      </c>
    </row>
    <row r="17" spans="1:5" x14ac:dyDescent="0.25">
      <c r="A17" s="47" t="s">
        <v>417</v>
      </c>
      <c r="B17" s="48">
        <v>2025</v>
      </c>
      <c r="C17" s="48">
        <v>14</v>
      </c>
      <c r="D17" s="48">
        <v>14</v>
      </c>
      <c r="E17" s="48">
        <v>100</v>
      </c>
    </row>
    <row r="18" spans="1:5" x14ac:dyDescent="0.25">
      <c r="A18" s="51" t="s">
        <v>161</v>
      </c>
      <c r="B18" s="52">
        <v>2026</v>
      </c>
      <c r="C18" s="52">
        <v>20</v>
      </c>
      <c r="D18" s="52">
        <v>15</v>
      </c>
      <c r="E18" s="52">
        <v>75</v>
      </c>
    </row>
    <row r="19" spans="1:5" x14ac:dyDescent="0.25">
      <c r="A19" s="47" t="s">
        <v>161</v>
      </c>
      <c r="B19" s="48">
        <v>2025</v>
      </c>
      <c r="C19" s="48">
        <v>3</v>
      </c>
      <c r="D19" s="48">
        <v>1</v>
      </c>
      <c r="E19" s="48">
        <v>33.33</v>
      </c>
    </row>
    <row r="20" spans="1:5" x14ac:dyDescent="0.25">
      <c r="A20" s="51" t="s">
        <v>418</v>
      </c>
      <c r="B20" s="52">
        <v>2026</v>
      </c>
      <c r="C20" s="52">
        <v>2264</v>
      </c>
      <c r="D20" s="52">
        <v>2173</v>
      </c>
      <c r="E20" s="52">
        <v>95.98</v>
      </c>
    </row>
    <row r="21" spans="1:5" x14ac:dyDescent="0.25">
      <c r="A21" s="47" t="s">
        <v>418</v>
      </c>
      <c r="B21" s="48">
        <v>2025</v>
      </c>
      <c r="C21" s="48">
        <v>2210</v>
      </c>
      <c r="D21" s="48">
        <v>2155</v>
      </c>
      <c r="E21" s="48">
        <v>97.51</v>
      </c>
    </row>
    <row r="22" spans="1:5" x14ac:dyDescent="0.25">
      <c r="A22" s="51" t="s">
        <v>163</v>
      </c>
      <c r="B22" s="52">
        <v>2026</v>
      </c>
      <c r="C22" s="52">
        <v>51114</v>
      </c>
      <c r="D22" s="52">
        <v>40652</v>
      </c>
      <c r="E22" s="52">
        <v>79.53</v>
      </c>
    </row>
    <row r="23" spans="1:5" x14ac:dyDescent="0.25">
      <c r="A23" s="47" t="s">
        <v>163</v>
      </c>
      <c r="B23" s="48">
        <v>2025</v>
      </c>
      <c r="C23" s="48">
        <v>54145</v>
      </c>
      <c r="D23" s="48">
        <v>42014</v>
      </c>
      <c r="E23" s="48">
        <v>77.599999999999994</v>
      </c>
    </row>
    <row r="24" spans="1:5" x14ac:dyDescent="0.25">
      <c r="A24" s="51" t="s">
        <v>340</v>
      </c>
      <c r="B24" s="52">
        <v>2026</v>
      </c>
      <c r="C24" s="52">
        <v>1</v>
      </c>
      <c r="D24" s="52">
        <v>0</v>
      </c>
      <c r="E24" s="52">
        <v>0</v>
      </c>
    </row>
    <row r="25" spans="1:5" x14ac:dyDescent="0.25">
      <c r="A25" s="51" t="s">
        <v>165</v>
      </c>
      <c r="B25" s="52">
        <v>2026</v>
      </c>
      <c r="C25" s="52">
        <v>37</v>
      </c>
      <c r="D25" s="52">
        <v>25</v>
      </c>
      <c r="E25" s="52">
        <v>67.569999999999993</v>
      </c>
    </row>
    <row r="26" spans="1:5" x14ac:dyDescent="0.25">
      <c r="A26" s="47" t="s">
        <v>165</v>
      </c>
      <c r="B26" s="48">
        <v>2025</v>
      </c>
      <c r="C26" s="48">
        <v>31</v>
      </c>
      <c r="D26" s="48">
        <v>29</v>
      </c>
      <c r="E26" s="48">
        <v>93.55</v>
      </c>
    </row>
    <row r="27" spans="1:5" x14ac:dyDescent="0.25">
      <c r="A27" s="47" t="s">
        <v>419</v>
      </c>
      <c r="B27" s="48">
        <v>2025</v>
      </c>
      <c r="C27" s="48">
        <v>3</v>
      </c>
      <c r="D27" s="48">
        <v>0</v>
      </c>
      <c r="E27" s="48">
        <v>0</v>
      </c>
    </row>
    <row r="28" spans="1:5" x14ac:dyDescent="0.25">
      <c r="A28" s="51" t="s">
        <v>342</v>
      </c>
      <c r="B28" s="52">
        <v>2026</v>
      </c>
      <c r="C28" s="52">
        <v>1</v>
      </c>
      <c r="D28" s="52">
        <v>1</v>
      </c>
      <c r="E28" s="52">
        <v>100</v>
      </c>
    </row>
    <row r="29" spans="1:5" x14ac:dyDescent="0.25">
      <c r="A29" s="51" t="s">
        <v>169</v>
      </c>
      <c r="B29" s="52">
        <v>2026</v>
      </c>
      <c r="C29" s="52">
        <v>4882</v>
      </c>
      <c r="D29" s="52">
        <v>2470</v>
      </c>
      <c r="E29" s="52">
        <v>50.59</v>
      </c>
    </row>
    <row r="30" spans="1:5" x14ac:dyDescent="0.25">
      <c r="A30" s="47" t="s">
        <v>169</v>
      </c>
      <c r="B30" s="48">
        <v>2025</v>
      </c>
      <c r="C30" s="48">
        <v>5418</v>
      </c>
      <c r="D30" s="48">
        <v>4129</v>
      </c>
      <c r="E30" s="48">
        <v>76.209999999999994</v>
      </c>
    </row>
    <row r="31" spans="1:5" x14ac:dyDescent="0.25">
      <c r="A31" s="51" t="s">
        <v>171</v>
      </c>
      <c r="B31" s="52">
        <v>2026</v>
      </c>
      <c r="C31" s="52">
        <v>106</v>
      </c>
      <c r="D31" s="52">
        <v>90</v>
      </c>
      <c r="E31" s="52">
        <v>84.91</v>
      </c>
    </row>
    <row r="32" spans="1:5" x14ac:dyDescent="0.25">
      <c r="A32" s="47" t="s">
        <v>171</v>
      </c>
      <c r="B32" s="48">
        <v>2025</v>
      </c>
      <c r="C32" s="48">
        <v>172</v>
      </c>
      <c r="D32" s="48">
        <v>150</v>
      </c>
      <c r="E32" s="48">
        <v>87.21</v>
      </c>
    </row>
    <row r="33" spans="1:5" x14ac:dyDescent="0.25">
      <c r="A33" s="51" t="s">
        <v>173</v>
      </c>
      <c r="B33" s="52">
        <v>2026</v>
      </c>
      <c r="C33" s="52">
        <v>256</v>
      </c>
      <c r="D33" s="52">
        <v>83</v>
      </c>
      <c r="E33" s="52">
        <v>32.42</v>
      </c>
    </row>
    <row r="34" spans="1:5" x14ac:dyDescent="0.25">
      <c r="A34" s="47" t="s">
        <v>173</v>
      </c>
      <c r="B34" s="48">
        <v>2025</v>
      </c>
      <c r="C34" s="48">
        <v>135</v>
      </c>
      <c r="D34" s="48">
        <v>37</v>
      </c>
      <c r="E34" s="48">
        <v>27.41</v>
      </c>
    </row>
    <row r="35" spans="1:5" x14ac:dyDescent="0.25">
      <c r="A35" s="51" t="s">
        <v>175</v>
      </c>
      <c r="B35" s="52">
        <v>2026</v>
      </c>
      <c r="C35" s="52">
        <v>4248</v>
      </c>
      <c r="D35" s="52">
        <v>3350</v>
      </c>
      <c r="E35" s="52">
        <v>78.86</v>
      </c>
    </row>
    <row r="36" spans="1:5" x14ac:dyDescent="0.25">
      <c r="A36" s="47" t="s">
        <v>175</v>
      </c>
      <c r="B36" s="48">
        <v>2025</v>
      </c>
      <c r="C36" s="48">
        <v>5184</v>
      </c>
      <c r="D36" s="48">
        <v>4262</v>
      </c>
      <c r="E36" s="48">
        <v>82.21</v>
      </c>
    </row>
    <row r="37" spans="1:5" x14ac:dyDescent="0.25">
      <c r="A37" s="51" t="s">
        <v>420</v>
      </c>
      <c r="B37" s="52">
        <v>2026</v>
      </c>
      <c r="C37" s="52">
        <v>50069</v>
      </c>
      <c r="D37" s="52">
        <v>36622</v>
      </c>
      <c r="E37" s="52">
        <v>73.14</v>
      </c>
    </row>
    <row r="38" spans="1:5" x14ac:dyDescent="0.25">
      <c r="A38" s="47" t="s">
        <v>420</v>
      </c>
      <c r="B38" s="48">
        <v>2025</v>
      </c>
      <c r="C38" s="48">
        <v>54415</v>
      </c>
      <c r="D38" s="48">
        <v>42427</v>
      </c>
      <c r="E38" s="48">
        <v>77.97</v>
      </c>
    </row>
    <row r="39" spans="1:5" x14ac:dyDescent="0.25">
      <c r="A39" s="51" t="s">
        <v>351</v>
      </c>
      <c r="B39" s="52">
        <v>2026</v>
      </c>
      <c r="C39" s="52">
        <v>47073</v>
      </c>
      <c r="D39" s="52">
        <v>22685</v>
      </c>
      <c r="E39" s="52">
        <v>48.19</v>
      </c>
    </row>
    <row r="40" spans="1:5" x14ac:dyDescent="0.25">
      <c r="A40" s="47" t="s">
        <v>351</v>
      </c>
      <c r="B40" s="48">
        <v>2025</v>
      </c>
      <c r="C40" s="48">
        <v>47369</v>
      </c>
      <c r="D40" s="48">
        <v>34938</v>
      </c>
      <c r="E40" s="48">
        <v>73.760000000000005</v>
      </c>
    </row>
    <row r="41" spans="1:5" x14ac:dyDescent="0.25">
      <c r="A41" s="51" t="s">
        <v>421</v>
      </c>
      <c r="B41" s="52">
        <v>2026</v>
      </c>
      <c r="C41" s="52">
        <v>5319</v>
      </c>
      <c r="D41" s="52">
        <v>2686</v>
      </c>
      <c r="E41" s="52">
        <v>50.5</v>
      </c>
    </row>
    <row r="42" spans="1:5" x14ac:dyDescent="0.25">
      <c r="A42" s="47" t="s">
        <v>421</v>
      </c>
      <c r="B42" s="48">
        <v>2025</v>
      </c>
      <c r="C42" s="48">
        <v>5579</v>
      </c>
      <c r="D42" s="48">
        <v>3255</v>
      </c>
      <c r="E42" s="48">
        <v>58.34</v>
      </c>
    </row>
    <row r="43" spans="1:5" x14ac:dyDescent="0.25">
      <c r="A43" s="51" t="s">
        <v>422</v>
      </c>
      <c r="B43" s="52">
        <v>2026</v>
      </c>
      <c r="C43" s="52">
        <v>48902</v>
      </c>
      <c r="D43" s="52">
        <v>36861</v>
      </c>
      <c r="E43" s="52">
        <v>75.38</v>
      </c>
    </row>
    <row r="44" spans="1:5" x14ac:dyDescent="0.25">
      <c r="A44" s="47" t="s">
        <v>422</v>
      </c>
      <c r="B44" s="48">
        <v>2025</v>
      </c>
      <c r="C44" s="48">
        <v>52687</v>
      </c>
      <c r="D44" s="48">
        <v>44328</v>
      </c>
      <c r="E44" s="48">
        <v>84.13</v>
      </c>
    </row>
    <row r="45" spans="1:5" x14ac:dyDescent="0.25">
      <c r="A45" s="51" t="s">
        <v>183</v>
      </c>
      <c r="B45" s="52">
        <v>2026</v>
      </c>
      <c r="C45" s="52">
        <v>50335</v>
      </c>
      <c r="D45" s="52">
        <v>34446</v>
      </c>
      <c r="E45" s="52">
        <v>68.430000000000007</v>
      </c>
    </row>
    <row r="46" spans="1:5" x14ac:dyDescent="0.25">
      <c r="A46" s="47" t="s">
        <v>183</v>
      </c>
      <c r="B46" s="48">
        <v>2025</v>
      </c>
      <c r="C46" s="48">
        <v>52896</v>
      </c>
      <c r="D46" s="48">
        <v>43975</v>
      </c>
      <c r="E46" s="48">
        <v>83.13</v>
      </c>
    </row>
    <row r="47" spans="1:5" x14ac:dyDescent="0.25">
      <c r="A47" s="51" t="s">
        <v>187</v>
      </c>
      <c r="B47" s="52">
        <v>2026</v>
      </c>
      <c r="C47" s="52">
        <v>53</v>
      </c>
      <c r="D47" s="52">
        <v>44</v>
      </c>
      <c r="E47" s="52">
        <v>83.02</v>
      </c>
    </row>
    <row r="48" spans="1:5" x14ac:dyDescent="0.25">
      <c r="A48" s="47" t="s">
        <v>187</v>
      </c>
      <c r="B48" s="48">
        <v>2025</v>
      </c>
      <c r="C48" s="48">
        <v>69</v>
      </c>
      <c r="D48" s="48">
        <v>58</v>
      </c>
      <c r="E48" s="48">
        <v>84.06</v>
      </c>
    </row>
    <row r="49" spans="1:5" x14ac:dyDescent="0.25">
      <c r="A49" s="51" t="s">
        <v>189</v>
      </c>
      <c r="B49" s="52">
        <v>2026</v>
      </c>
      <c r="C49" s="52">
        <v>48374</v>
      </c>
      <c r="D49" s="52">
        <v>26842</v>
      </c>
      <c r="E49" s="52">
        <v>55.49</v>
      </c>
    </row>
    <row r="50" spans="1:5" x14ac:dyDescent="0.25">
      <c r="A50" s="47" t="s">
        <v>189</v>
      </c>
      <c r="B50" s="48">
        <v>2025</v>
      </c>
      <c r="C50" s="48">
        <v>47849</v>
      </c>
      <c r="D50" s="48">
        <v>33390</v>
      </c>
      <c r="E50" s="48">
        <v>69.78</v>
      </c>
    </row>
    <row r="51" spans="1:5" x14ac:dyDescent="0.25">
      <c r="A51" s="51" t="s">
        <v>191</v>
      </c>
      <c r="B51" s="52">
        <v>2026</v>
      </c>
      <c r="C51" s="52">
        <v>47367</v>
      </c>
      <c r="D51" s="52">
        <v>39933</v>
      </c>
      <c r="E51" s="52">
        <v>84.31</v>
      </c>
    </row>
    <row r="52" spans="1:5" x14ac:dyDescent="0.25">
      <c r="A52" s="47" t="s">
        <v>191</v>
      </c>
      <c r="B52" s="48">
        <v>2025</v>
      </c>
      <c r="C52" s="48">
        <v>52747</v>
      </c>
      <c r="D52" s="48">
        <v>48794</v>
      </c>
      <c r="E52" s="48">
        <v>92.51</v>
      </c>
    </row>
    <row r="53" spans="1:5" x14ac:dyDescent="0.25">
      <c r="A53" s="51" t="s">
        <v>423</v>
      </c>
      <c r="B53" s="52">
        <v>2026</v>
      </c>
      <c r="C53" s="52">
        <v>11</v>
      </c>
      <c r="D53" s="52">
        <v>11</v>
      </c>
      <c r="E53" s="52">
        <v>100</v>
      </c>
    </row>
    <row r="54" spans="1:5" x14ac:dyDescent="0.25">
      <c r="A54" s="47" t="s">
        <v>423</v>
      </c>
      <c r="B54" s="48">
        <v>2025</v>
      </c>
      <c r="C54" s="48">
        <v>14</v>
      </c>
      <c r="D54" s="48">
        <v>14</v>
      </c>
      <c r="E54" s="48">
        <v>100</v>
      </c>
    </row>
  </sheetData>
  <autoFilter ref="A3:E54" xr:uid="{00000000-0009-0000-0000-00001A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2" customWidth="1"/>
    <col min="3" max="11" width="13" customWidth="1"/>
  </cols>
  <sheetData>
    <row r="1" spans="1:11" ht="21.75" customHeight="1" x14ac:dyDescent="0.25">
      <c r="A1" s="2" t="s">
        <v>424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25.5" x14ac:dyDescent="0.25">
      <c r="A3" s="42" t="s">
        <v>121</v>
      </c>
      <c r="B3" s="42" t="s">
        <v>239</v>
      </c>
      <c r="C3" s="42" t="s">
        <v>425</v>
      </c>
      <c r="D3" s="42" t="s">
        <v>426</v>
      </c>
      <c r="E3" s="42" t="s">
        <v>427</v>
      </c>
      <c r="F3" s="42" t="s">
        <v>428</v>
      </c>
      <c r="G3" s="42" t="s">
        <v>429</v>
      </c>
      <c r="H3" s="42" t="s">
        <v>430</v>
      </c>
      <c r="I3" s="42" t="s">
        <v>431</v>
      </c>
      <c r="J3" s="42" t="s">
        <v>432</v>
      </c>
      <c r="K3" s="42" t="s">
        <v>433</v>
      </c>
    </row>
    <row r="4" spans="1:11" x14ac:dyDescent="0.25">
      <c r="A4" s="51">
        <v>2026</v>
      </c>
      <c r="B4" s="52" t="s">
        <v>122</v>
      </c>
      <c r="C4" s="52">
        <v>66478</v>
      </c>
      <c r="D4" s="52">
        <v>69698</v>
      </c>
      <c r="E4" s="52">
        <v>136176</v>
      </c>
      <c r="F4" s="52">
        <v>33683</v>
      </c>
      <c r="G4" s="52">
        <v>33985</v>
      </c>
      <c r="H4" s="52">
        <v>67668</v>
      </c>
      <c r="I4" s="52">
        <v>100161</v>
      </c>
      <c r="J4" s="52">
        <v>103683</v>
      </c>
      <c r="K4" s="52">
        <v>203844</v>
      </c>
    </row>
    <row r="5" spans="1:11" x14ac:dyDescent="0.25">
      <c r="A5" s="51">
        <v>2026</v>
      </c>
      <c r="B5" s="52" t="s">
        <v>123</v>
      </c>
      <c r="C5" s="52">
        <v>33559</v>
      </c>
      <c r="D5" s="52">
        <v>50290</v>
      </c>
      <c r="E5" s="52">
        <v>83849</v>
      </c>
      <c r="F5" s="52">
        <v>10601</v>
      </c>
      <c r="G5" s="52">
        <v>17352</v>
      </c>
      <c r="H5" s="52">
        <v>27953</v>
      </c>
      <c r="I5" s="52">
        <v>44160</v>
      </c>
      <c r="J5" s="52">
        <v>67642</v>
      </c>
      <c r="K5" s="52">
        <v>111802</v>
      </c>
    </row>
    <row r="6" spans="1:11" x14ac:dyDescent="0.25">
      <c r="A6" s="51">
        <v>2026</v>
      </c>
      <c r="B6" s="52" t="s">
        <v>132</v>
      </c>
      <c r="C6" s="52">
        <v>50.48</v>
      </c>
      <c r="D6" s="52">
        <v>72.150000000000006</v>
      </c>
      <c r="E6" s="52">
        <v>61.57</v>
      </c>
      <c r="F6" s="52">
        <v>31.47</v>
      </c>
      <c r="G6" s="52">
        <v>51.06</v>
      </c>
      <c r="H6" s="52">
        <v>41.31</v>
      </c>
      <c r="I6" s="52">
        <v>44.09</v>
      </c>
      <c r="J6" s="52">
        <v>65.239999999999995</v>
      </c>
      <c r="K6" s="52">
        <v>54.85</v>
      </c>
    </row>
    <row r="7" spans="1:11" x14ac:dyDescent="0.25">
      <c r="A7" s="47">
        <v>2025</v>
      </c>
      <c r="B7" s="48" t="s">
        <v>122</v>
      </c>
      <c r="C7" s="48">
        <v>77534</v>
      </c>
      <c r="D7" s="48">
        <v>76138</v>
      </c>
      <c r="E7" s="48">
        <v>153672</v>
      </c>
      <c r="F7" s="48">
        <v>41444</v>
      </c>
      <c r="G7" s="48">
        <v>40131</v>
      </c>
      <c r="H7" s="48">
        <v>81575</v>
      </c>
      <c r="I7" s="48">
        <v>118978</v>
      </c>
      <c r="J7" s="48">
        <v>116269</v>
      </c>
      <c r="K7" s="48">
        <v>235247</v>
      </c>
    </row>
    <row r="8" spans="1:11" x14ac:dyDescent="0.25">
      <c r="A8" s="47">
        <v>2025</v>
      </c>
      <c r="B8" s="48" t="s">
        <v>123</v>
      </c>
      <c r="C8" s="48">
        <v>34973</v>
      </c>
      <c r="D8" s="48">
        <v>48976</v>
      </c>
      <c r="E8" s="48">
        <v>83949</v>
      </c>
      <c r="F8" s="48">
        <v>10806</v>
      </c>
      <c r="G8" s="48">
        <v>16926</v>
      </c>
      <c r="H8" s="48">
        <v>27732</v>
      </c>
      <c r="I8" s="48">
        <v>45779</v>
      </c>
      <c r="J8" s="48">
        <v>65902</v>
      </c>
      <c r="K8" s="48">
        <v>111681</v>
      </c>
    </row>
    <row r="9" spans="1:11" x14ac:dyDescent="0.25">
      <c r="A9" s="47">
        <v>2025</v>
      </c>
      <c r="B9" s="48" t="s">
        <v>132</v>
      </c>
      <c r="C9" s="48">
        <v>45.11</v>
      </c>
      <c r="D9" s="48">
        <v>64.33</v>
      </c>
      <c r="E9" s="48">
        <v>54.63</v>
      </c>
      <c r="F9" s="48">
        <v>26.07</v>
      </c>
      <c r="G9" s="48">
        <v>42.18</v>
      </c>
      <c r="H9" s="48">
        <v>34</v>
      </c>
      <c r="I9" s="48">
        <v>38.479999999999997</v>
      </c>
      <c r="J9" s="48">
        <v>56.68</v>
      </c>
      <c r="K9" s="48">
        <v>47.47</v>
      </c>
    </row>
  </sheetData>
  <autoFilter ref="A3:K9" xr:uid="{00000000-0009-0000-0000-00001B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2" customWidth="1"/>
    <col min="3" max="11" width="13" customWidth="1"/>
  </cols>
  <sheetData>
    <row r="1" spans="1:11" ht="21.75" customHeight="1" x14ac:dyDescent="0.25">
      <c r="A1" s="2" t="s">
        <v>434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25.5" x14ac:dyDescent="0.25">
      <c r="A3" s="42" t="s">
        <v>121</v>
      </c>
      <c r="B3" s="42" t="s">
        <v>239</v>
      </c>
      <c r="C3" s="42" t="s">
        <v>425</v>
      </c>
      <c r="D3" s="42" t="s">
        <v>426</v>
      </c>
      <c r="E3" s="42" t="s">
        <v>427</v>
      </c>
      <c r="F3" s="42" t="s">
        <v>428</v>
      </c>
      <c r="G3" s="42" t="s">
        <v>429</v>
      </c>
      <c r="H3" s="42" t="s">
        <v>430</v>
      </c>
      <c r="I3" s="42" t="s">
        <v>431</v>
      </c>
      <c r="J3" s="42" t="s">
        <v>432</v>
      </c>
      <c r="K3" s="42" t="s">
        <v>433</v>
      </c>
    </row>
    <row r="4" spans="1:11" x14ac:dyDescent="0.25">
      <c r="A4" s="51">
        <v>2026</v>
      </c>
      <c r="B4" s="52" t="s">
        <v>122</v>
      </c>
      <c r="C4" s="52">
        <v>10800</v>
      </c>
      <c r="D4" s="52">
        <v>27217</v>
      </c>
      <c r="E4" s="52">
        <v>38017</v>
      </c>
      <c r="F4" s="52">
        <v>16212</v>
      </c>
      <c r="G4" s="52">
        <v>16532</v>
      </c>
      <c r="H4" s="52">
        <v>32744</v>
      </c>
      <c r="I4" s="52">
        <v>27012</v>
      </c>
      <c r="J4" s="52">
        <v>43749</v>
      </c>
      <c r="K4" s="52">
        <v>70761</v>
      </c>
    </row>
    <row r="5" spans="1:11" x14ac:dyDescent="0.25">
      <c r="A5" s="51">
        <v>2026</v>
      </c>
      <c r="B5" s="52" t="s">
        <v>123</v>
      </c>
      <c r="C5" s="52">
        <v>1429</v>
      </c>
      <c r="D5" s="52">
        <v>8775</v>
      </c>
      <c r="E5" s="52">
        <v>10204</v>
      </c>
      <c r="F5" s="52">
        <v>1798</v>
      </c>
      <c r="G5" s="52">
        <v>4226</v>
      </c>
      <c r="H5" s="52">
        <v>6024</v>
      </c>
      <c r="I5" s="52">
        <v>3227</v>
      </c>
      <c r="J5" s="52">
        <v>13001</v>
      </c>
      <c r="K5" s="52">
        <v>16228</v>
      </c>
    </row>
    <row r="6" spans="1:11" x14ac:dyDescent="0.25">
      <c r="A6" s="51">
        <v>2026</v>
      </c>
      <c r="B6" s="52" t="s">
        <v>132</v>
      </c>
      <c r="C6" s="52">
        <v>13.23</v>
      </c>
      <c r="D6" s="52">
        <v>32.24</v>
      </c>
      <c r="E6" s="52">
        <v>26.84</v>
      </c>
      <c r="F6" s="52">
        <v>11.09</v>
      </c>
      <c r="G6" s="52">
        <v>25.56</v>
      </c>
      <c r="H6" s="52">
        <v>18.399999999999999</v>
      </c>
      <c r="I6" s="52">
        <v>11.95</v>
      </c>
      <c r="J6" s="52">
        <v>29.72</v>
      </c>
      <c r="K6" s="52">
        <v>22.93</v>
      </c>
    </row>
    <row r="7" spans="1:11" x14ac:dyDescent="0.25">
      <c r="A7" s="47">
        <v>2025</v>
      </c>
      <c r="B7" s="48" t="s">
        <v>122</v>
      </c>
      <c r="C7" s="48">
        <v>10424</v>
      </c>
      <c r="D7" s="48">
        <v>27751</v>
      </c>
      <c r="E7" s="48">
        <v>38175</v>
      </c>
      <c r="F7" s="48">
        <v>16632</v>
      </c>
      <c r="G7" s="48">
        <v>18019</v>
      </c>
      <c r="H7" s="48">
        <v>34651</v>
      </c>
      <c r="I7" s="48">
        <v>27056</v>
      </c>
      <c r="J7" s="48">
        <v>45770</v>
      </c>
      <c r="K7" s="48">
        <v>72826</v>
      </c>
    </row>
    <row r="8" spans="1:11" x14ac:dyDescent="0.25">
      <c r="A8" s="47">
        <v>2025</v>
      </c>
      <c r="B8" s="48" t="s">
        <v>123</v>
      </c>
      <c r="C8" s="48">
        <v>2312</v>
      </c>
      <c r="D8" s="48">
        <v>13827</v>
      </c>
      <c r="E8" s="48">
        <v>16139</v>
      </c>
      <c r="F8" s="48">
        <v>3505</v>
      </c>
      <c r="G8" s="48">
        <v>7569</v>
      </c>
      <c r="H8" s="48">
        <v>11074</v>
      </c>
      <c r="I8" s="48">
        <v>5817</v>
      </c>
      <c r="J8" s="48">
        <v>21396</v>
      </c>
      <c r="K8" s="48">
        <v>27213</v>
      </c>
    </row>
    <row r="9" spans="1:11" x14ac:dyDescent="0.25">
      <c r="A9" s="47">
        <v>2025</v>
      </c>
      <c r="B9" s="48" t="s">
        <v>132</v>
      </c>
      <c r="C9" s="48">
        <v>22.18</v>
      </c>
      <c r="D9" s="48">
        <v>49.83</v>
      </c>
      <c r="E9" s="48">
        <v>42.28</v>
      </c>
      <c r="F9" s="48">
        <v>21.07</v>
      </c>
      <c r="G9" s="48">
        <v>42.01</v>
      </c>
      <c r="H9" s="48">
        <v>31.96</v>
      </c>
      <c r="I9" s="48">
        <v>21.5</v>
      </c>
      <c r="J9" s="48">
        <v>46.75</v>
      </c>
      <c r="K9" s="48">
        <v>37.369999999999997</v>
      </c>
    </row>
  </sheetData>
  <autoFilter ref="A3:K9" xr:uid="{00000000-0009-0000-0000-00001C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2" customWidth="1"/>
    <col min="3" max="11" width="13" customWidth="1"/>
  </cols>
  <sheetData>
    <row r="1" spans="1:11" ht="21.75" customHeight="1" x14ac:dyDescent="0.25">
      <c r="A1" s="2" t="s">
        <v>435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25.5" x14ac:dyDescent="0.25">
      <c r="A3" s="42" t="s">
        <v>121</v>
      </c>
      <c r="B3" s="42" t="s">
        <v>239</v>
      </c>
      <c r="C3" s="42" t="s">
        <v>425</v>
      </c>
      <c r="D3" s="42" t="s">
        <v>426</v>
      </c>
      <c r="E3" s="42" t="s">
        <v>427</v>
      </c>
      <c r="F3" s="42" t="s">
        <v>428</v>
      </c>
      <c r="G3" s="42" t="s">
        <v>429</v>
      </c>
      <c r="H3" s="42" t="s">
        <v>430</v>
      </c>
      <c r="I3" s="42" t="s">
        <v>431</v>
      </c>
      <c r="J3" s="42" t="s">
        <v>432</v>
      </c>
      <c r="K3" s="42" t="s">
        <v>433</v>
      </c>
    </row>
    <row r="4" spans="1:11" x14ac:dyDescent="0.25">
      <c r="A4" s="51">
        <v>2026</v>
      </c>
      <c r="B4" s="52" t="s">
        <v>122</v>
      </c>
      <c r="C4" s="52">
        <v>2621</v>
      </c>
      <c r="D4" s="52">
        <v>3450</v>
      </c>
      <c r="E4" s="52">
        <v>6071</v>
      </c>
      <c r="F4" s="52">
        <v>0</v>
      </c>
      <c r="G4" s="52">
        <v>0</v>
      </c>
      <c r="H4" s="52">
        <v>0</v>
      </c>
      <c r="I4" s="52">
        <v>2621</v>
      </c>
      <c r="J4" s="52">
        <v>3450</v>
      </c>
      <c r="K4" s="52">
        <v>6071</v>
      </c>
    </row>
    <row r="5" spans="1:11" x14ac:dyDescent="0.25">
      <c r="A5" s="51">
        <v>2026</v>
      </c>
      <c r="B5" s="52" t="s">
        <v>123</v>
      </c>
      <c r="C5" s="52">
        <v>746</v>
      </c>
      <c r="D5" s="52">
        <v>1767</v>
      </c>
      <c r="E5" s="52">
        <v>2513</v>
      </c>
      <c r="F5" s="52">
        <v>0</v>
      </c>
      <c r="G5" s="52">
        <v>0</v>
      </c>
      <c r="H5" s="52">
        <v>0</v>
      </c>
      <c r="I5" s="52">
        <v>746</v>
      </c>
      <c r="J5" s="52">
        <v>1767</v>
      </c>
      <c r="K5" s="52">
        <v>2513</v>
      </c>
    </row>
    <row r="6" spans="1:11" x14ac:dyDescent="0.25">
      <c r="A6" s="51">
        <v>2026</v>
      </c>
      <c r="B6" s="52" t="s">
        <v>132</v>
      </c>
      <c r="C6" s="52">
        <v>28.46</v>
      </c>
      <c r="D6" s="52">
        <v>51.22</v>
      </c>
      <c r="E6" s="52">
        <v>41.39</v>
      </c>
      <c r="F6" s="52">
        <v>0</v>
      </c>
      <c r="G6" s="52">
        <v>0</v>
      </c>
      <c r="H6" s="52">
        <v>0</v>
      </c>
      <c r="I6" s="52">
        <v>28.46</v>
      </c>
      <c r="J6" s="52">
        <v>51.22</v>
      </c>
      <c r="K6" s="52">
        <v>41.39</v>
      </c>
    </row>
  </sheetData>
  <autoFilter ref="A3:K6" xr:uid="{00000000-0009-0000-0000-00001D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24" customWidth="1"/>
    <col min="3" max="3" width="22" customWidth="1"/>
    <col min="4" max="4" width="20" customWidth="1"/>
    <col min="5" max="5" width="18" customWidth="1"/>
  </cols>
  <sheetData>
    <row r="1" spans="1:5" ht="21.75" customHeight="1" x14ac:dyDescent="0.25">
      <c r="A1" s="2" t="s">
        <v>436</v>
      </c>
      <c r="B1" s="2"/>
      <c r="C1" s="2"/>
      <c r="D1" s="2"/>
      <c r="E1" s="2"/>
    </row>
    <row r="3" spans="1:5" ht="25.5" x14ac:dyDescent="0.25">
      <c r="A3" s="42" t="s">
        <v>121</v>
      </c>
      <c r="B3" s="42" t="s">
        <v>370</v>
      </c>
      <c r="C3" s="42" t="s">
        <v>128</v>
      </c>
      <c r="D3" s="42" t="s">
        <v>129</v>
      </c>
      <c r="E3" s="42" t="s">
        <v>371</v>
      </c>
    </row>
    <row r="4" spans="1:5" x14ac:dyDescent="0.25">
      <c r="A4" s="51">
        <v>2026</v>
      </c>
      <c r="B4" s="52">
        <v>287597</v>
      </c>
      <c r="C4" s="52">
        <v>280676</v>
      </c>
      <c r="D4" s="52">
        <v>130543</v>
      </c>
      <c r="E4" s="52">
        <v>46.51</v>
      </c>
    </row>
    <row r="5" spans="1:5" x14ac:dyDescent="0.25">
      <c r="A5" s="47">
        <v>2025</v>
      </c>
      <c r="B5" s="48">
        <v>314375</v>
      </c>
      <c r="C5" s="48">
        <v>308073</v>
      </c>
      <c r="D5" s="48">
        <v>138894</v>
      </c>
      <c r="E5" s="48">
        <v>45.08</v>
      </c>
    </row>
    <row r="6" spans="1:5" x14ac:dyDescent="0.25">
      <c r="A6" s="53" t="s">
        <v>125</v>
      </c>
      <c r="B6" s="54">
        <v>-26778</v>
      </c>
      <c r="C6" s="54">
        <v>-27397</v>
      </c>
      <c r="D6" s="54">
        <v>-8351</v>
      </c>
      <c r="E6" s="54">
        <v>1.43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82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4" customWidth="1"/>
    <col min="3" max="3" width="18" customWidth="1"/>
    <col min="4" max="4" width="10" customWidth="1"/>
    <col min="5" max="5" width="14" customWidth="1"/>
    <col min="6" max="8" width="12" customWidth="1"/>
    <col min="9" max="9" width="10" customWidth="1"/>
  </cols>
  <sheetData>
    <row r="1" spans="1:9" ht="21.75" customHeight="1" x14ac:dyDescent="0.25">
      <c r="A1" s="2" t="s">
        <v>437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s="42" t="s">
        <v>121</v>
      </c>
      <c r="B3" s="42" t="s">
        <v>131</v>
      </c>
      <c r="C3" s="42" t="s">
        <v>438</v>
      </c>
      <c r="D3" s="42" t="s">
        <v>229</v>
      </c>
      <c r="E3" s="42" t="s">
        <v>130</v>
      </c>
      <c r="F3" s="42" t="s">
        <v>439</v>
      </c>
      <c r="G3" s="42" t="s">
        <v>122</v>
      </c>
      <c r="H3" s="42" t="s">
        <v>123</v>
      </c>
      <c r="I3" s="42" t="s">
        <v>132</v>
      </c>
    </row>
    <row r="4" spans="1:9" x14ac:dyDescent="0.25">
      <c r="A4" s="51">
        <v>2026</v>
      </c>
      <c r="B4" s="51" t="s">
        <v>440</v>
      </c>
      <c r="C4" s="51" t="s">
        <v>441</v>
      </c>
      <c r="D4" s="51" t="s">
        <v>232</v>
      </c>
      <c r="E4" s="51" t="s">
        <v>198</v>
      </c>
      <c r="F4" s="51">
        <v>32112</v>
      </c>
      <c r="G4" s="51">
        <v>31258</v>
      </c>
      <c r="H4" s="51">
        <v>10569</v>
      </c>
      <c r="I4" s="51">
        <v>33.81</v>
      </c>
    </row>
    <row r="5" spans="1:9" x14ac:dyDescent="0.25">
      <c r="A5" s="51">
        <v>2026</v>
      </c>
      <c r="B5" s="51" t="s">
        <v>440</v>
      </c>
      <c r="C5" s="51" t="s">
        <v>441</v>
      </c>
      <c r="D5" s="51" t="s">
        <v>232</v>
      </c>
      <c r="E5" s="51" t="s">
        <v>199</v>
      </c>
      <c r="F5" s="51">
        <v>9328</v>
      </c>
      <c r="G5" s="51">
        <v>8925</v>
      </c>
      <c r="H5" s="51">
        <v>1045</v>
      </c>
      <c r="I5" s="51">
        <v>11.71</v>
      </c>
    </row>
    <row r="6" spans="1:9" x14ac:dyDescent="0.25">
      <c r="A6" s="51">
        <v>2026</v>
      </c>
      <c r="B6" s="51" t="s">
        <v>440</v>
      </c>
      <c r="C6" s="51" t="s">
        <v>441</v>
      </c>
      <c r="D6" s="51" t="s">
        <v>232</v>
      </c>
      <c r="E6" s="51" t="s">
        <v>442</v>
      </c>
      <c r="F6" s="51">
        <v>2668</v>
      </c>
      <c r="G6" s="51">
        <v>2580</v>
      </c>
      <c r="H6" s="51">
        <v>728</v>
      </c>
      <c r="I6" s="51">
        <v>28.22</v>
      </c>
    </row>
    <row r="7" spans="1:9" x14ac:dyDescent="0.25">
      <c r="A7" s="51">
        <v>2026</v>
      </c>
      <c r="B7" s="51" t="s">
        <v>440</v>
      </c>
      <c r="C7" s="51" t="s">
        <v>441</v>
      </c>
      <c r="D7" s="51" t="s">
        <v>232</v>
      </c>
      <c r="E7" s="51" t="s">
        <v>443</v>
      </c>
      <c r="F7" s="51">
        <v>44108</v>
      </c>
      <c r="G7" s="51">
        <v>42763</v>
      </c>
      <c r="H7" s="51">
        <v>12342</v>
      </c>
      <c r="I7" s="51">
        <v>28.86</v>
      </c>
    </row>
    <row r="8" spans="1:9" x14ac:dyDescent="0.25">
      <c r="A8" s="51">
        <v>2026</v>
      </c>
      <c r="B8" s="51" t="s">
        <v>440</v>
      </c>
      <c r="C8" s="51" t="s">
        <v>441</v>
      </c>
      <c r="D8" s="51" t="s">
        <v>233</v>
      </c>
      <c r="E8" s="51" t="s">
        <v>198</v>
      </c>
      <c r="F8" s="51">
        <v>31420</v>
      </c>
      <c r="G8" s="51">
        <v>30930</v>
      </c>
      <c r="H8" s="51">
        <v>19149</v>
      </c>
      <c r="I8" s="51">
        <v>61.91</v>
      </c>
    </row>
    <row r="9" spans="1:9" x14ac:dyDescent="0.25">
      <c r="A9" s="51">
        <v>2026</v>
      </c>
      <c r="B9" s="51" t="s">
        <v>440</v>
      </c>
      <c r="C9" s="51" t="s">
        <v>441</v>
      </c>
      <c r="D9" s="51" t="s">
        <v>233</v>
      </c>
      <c r="E9" s="51" t="s">
        <v>199</v>
      </c>
      <c r="F9" s="51">
        <v>24736</v>
      </c>
      <c r="G9" s="51">
        <v>24002</v>
      </c>
      <c r="H9" s="51">
        <v>7210</v>
      </c>
      <c r="I9" s="51">
        <v>30.04</v>
      </c>
    </row>
    <row r="10" spans="1:9" x14ac:dyDescent="0.25">
      <c r="A10" s="51">
        <v>2026</v>
      </c>
      <c r="B10" s="51" t="s">
        <v>440</v>
      </c>
      <c r="C10" s="51" t="s">
        <v>441</v>
      </c>
      <c r="D10" s="51" t="s">
        <v>233</v>
      </c>
      <c r="E10" s="51" t="s">
        <v>442</v>
      </c>
      <c r="F10" s="51">
        <v>3478</v>
      </c>
      <c r="G10" s="51">
        <v>3384</v>
      </c>
      <c r="H10" s="51">
        <v>1708</v>
      </c>
      <c r="I10" s="51">
        <v>50.47</v>
      </c>
    </row>
    <row r="11" spans="1:9" x14ac:dyDescent="0.25">
      <c r="A11" s="51">
        <v>2026</v>
      </c>
      <c r="B11" s="51" t="s">
        <v>440</v>
      </c>
      <c r="C11" s="51" t="s">
        <v>441</v>
      </c>
      <c r="D11" s="51" t="s">
        <v>233</v>
      </c>
      <c r="E11" s="51" t="s">
        <v>443</v>
      </c>
      <c r="F11" s="51">
        <v>59634</v>
      </c>
      <c r="G11" s="51">
        <v>58316</v>
      </c>
      <c r="H11" s="51">
        <v>28067</v>
      </c>
      <c r="I11" s="51">
        <v>48.13</v>
      </c>
    </row>
    <row r="12" spans="1:9" ht="38.25" x14ac:dyDescent="0.25">
      <c r="A12" s="51">
        <v>2026</v>
      </c>
      <c r="B12" s="51" t="s">
        <v>440</v>
      </c>
      <c r="C12" s="51" t="s">
        <v>441</v>
      </c>
      <c r="D12" s="51" t="s">
        <v>444</v>
      </c>
      <c r="E12" s="51" t="s">
        <v>198</v>
      </c>
      <c r="F12" s="51">
        <v>63532</v>
      </c>
      <c r="G12" s="51">
        <v>62188</v>
      </c>
      <c r="H12" s="51">
        <v>29718</v>
      </c>
      <c r="I12" s="51">
        <v>47.79</v>
      </c>
    </row>
    <row r="13" spans="1:9" ht="38.25" x14ac:dyDescent="0.25">
      <c r="A13" s="51">
        <v>2026</v>
      </c>
      <c r="B13" s="51" t="s">
        <v>440</v>
      </c>
      <c r="C13" s="51" t="s">
        <v>441</v>
      </c>
      <c r="D13" s="51" t="s">
        <v>444</v>
      </c>
      <c r="E13" s="51" t="s">
        <v>199</v>
      </c>
      <c r="F13" s="51">
        <v>34064</v>
      </c>
      <c r="G13" s="51">
        <v>32927</v>
      </c>
      <c r="H13" s="51">
        <v>8255</v>
      </c>
      <c r="I13" s="51">
        <v>25.07</v>
      </c>
    </row>
    <row r="14" spans="1:9" ht="38.25" x14ac:dyDescent="0.25">
      <c r="A14" s="51">
        <v>2026</v>
      </c>
      <c r="B14" s="51" t="s">
        <v>440</v>
      </c>
      <c r="C14" s="51" t="s">
        <v>441</v>
      </c>
      <c r="D14" s="51" t="s">
        <v>444</v>
      </c>
      <c r="E14" s="51" t="s">
        <v>442</v>
      </c>
      <c r="F14" s="51">
        <v>6146</v>
      </c>
      <c r="G14" s="51">
        <v>5964</v>
      </c>
      <c r="H14" s="51">
        <v>2436</v>
      </c>
      <c r="I14" s="51">
        <v>40.85</v>
      </c>
    </row>
    <row r="15" spans="1:9" ht="38.25" x14ac:dyDescent="0.25">
      <c r="A15" s="51">
        <v>2026</v>
      </c>
      <c r="B15" s="51" t="s">
        <v>440</v>
      </c>
      <c r="C15" s="51" t="s">
        <v>441</v>
      </c>
      <c r="D15" s="51" t="s">
        <v>444</v>
      </c>
      <c r="E15" s="51" t="s">
        <v>445</v>
      </c>
      <c r="F15" s="51">
        <v>103742</v>
      </c>
      <c r="G15" s="51">
        <v>101079</v>
      </c>
      <c r="H15" s="51">
        <v>40409</v>
      </c>
      <c r="I15" s="51">
        <v>39.979999999999997</v>
      </c>
    </row>
    <row r="16" spans="1:9" x14ac:dyDescent="0.25">
      <c r="A16" s="51">
        <v>2026</v>
      </c>
      <c r="B16" s="51" t="s">
        <v>440</v>
      </c>
      <c r="C16" s="51" t="s">
        <v>446</v>
      </c>
      <c r="D16" s="51" t="s">
        <v>232</v>
      </c>
      <c r="E16" s="51" t="s">
        <v>198</v>
      </c>
      <c r="F16" s="51">
        <v>35664</v>
      </c>
      <c r="G16" s="51">
        <v>35220</v>
      </c>
      <c r="H16" s="51">
        <v>22990</v>
      </c>
      <c r="I16" s="51">
        <v>65.28</v>
      </c>
    </row>
    <row r="17" spans="1:9" x14ac:dyDescent="0.25">
      <c r="A17" s="51">
        <v>2026</v>
      </c>
      <c r="B17" s="51" t="s">
        <v>440</v>
      </c>
      <c r="C17" s="51" t="s">
        <v>446</v>
      </c>
      <c r="D17" s="51" t="s">
        <v>232</v>
      </c>
      <c r="E17" s="51" t="s">
        <v>199</v>
      </c>
      <c r="F17" s="51">
        <v>1936</v>
      </c>
      <c r="G17" s="51">
        <v>1875</v>
      </c>
      <c r="H17" s="51">
        <v>384</v>
      </c>
      <c r="I17" s="51">
        <v>20.48</v>
      </c>
    </row>
    <row r="18" spans="1:9" x14ac:dyDescent="0.25">
      <c r="A18" s="51">
        <v>2026</v>
      </c>
      <c r="B18" s="51" t="s">
        <v>440</v>
      </c>
      <c r="C18" s="51" t="s">
        <v>446</v>
      </c>
      <c r="D18" s="51" t="s">
        <v>232</v>
      </c>
      <c r="E18" s="51" t="s">
        <v>442</v>
      </c>
      <c r="F18" s="51">
        <v>41</v>
      </c>
      <c r="G18" s="51">
        <v>41</v>
      </c>
      <c r="H18" s="51">
        <v>18</v>
      </c>
      <c r="I18" s="51">
        <v>43.9</v>
      </c>
    </row>
    <row r="19" spans="1:9" x14ac:dyDescent="0.25">
      <c r="A19" s="51">
        <v>2026</v>
      </c>
      <c r="B19" s="51" t="s">
        <v>440</v>
      </c>
      <c r="C19" s="51" t="s">
        <v>446</v>
      </c>
      <c r="D19" s="51" t="s">
        <v>232</v>
      </c>
      <c r="E19" s="51" t="s">
        <v>443</v>
      </c>
      <c r="F19" s="51">
        <v>37641</v>
      </c>
      <c r="G19" s="51">
        <v>37136</v>
      </c>
      <c r="H19" s="51">
        <v>23392</v>
      </c>
      <c r="I19" s="51">
        <v>62.99</v>
      </c>
    </row>
    <row r="20" spans="1:9" x14ac:dyDescent="0.25">
      <c r="A20" s="51">
        <v>2026</v>
      </c>
      <c r="B20" s="51" t="s">
        <v>440</v>
      </c>
      <c r="C20" s="51" t="s">
        <v>446</v>
      </c>
      <c r="D20" s="51" t="s">
        <v>233</v>
      </c>
      <c r="E20" s="51" t="s">
        <v>198</v>
      </c>
      <c r="F20" s="51">
        <v>39100</v>
      </c>
      <c r="G20" s="51">
        <v>38768</v>
      </c>
      <c r="H20" s="51">
        <v>31141</v>
      </c>
      <c r="I20" s="51">
        <v>80.33</v>
      </c>
    </row>
    <row r="21" spans="1:9" x14ac:dyDescent="0.25">
      <c r="A21" s="51">
        <v>2026</v>
      </c>
      <c r="B21" s="51" t="s">
        <v>440</v>
      </c>
      <c r="C21" s="51" t="s">
        <v>446</v>
      </c>
      <c r="D21" s="51" t="s">
        <v>233</v>
      </c>
      <c r="E21" s="51" t="s">
        <v>199</v>
      </c>
      <c r="F21" s="51">
        <v>3272</v>
      </c>
      <c r="G21" s="51">
        <v>3215</v>
      </c>
      <c r="H21" s="51">
        <v>1565</v>
      </c>
      <c r="I21" s="51">
        <v>48.68</v>
      </c>
    </row>
    <row r="22" spans="1:9" x14ac:dyDescent="0.25">
      <c r="A22" s="51">
        <v>2026</v>
      </c>
      <c r="B22" s="51" t="s">
        <v>440</v>
      </c>
      <c r="C22" s="51" t="s">
        <v>446</v>
      </c>
      <c r="D22" s="51" t="s">
        <v>233</v>
      </c>
      <c r="E22" s="51" t="s">
        <v>442</v>
      </c>
      <c r="F22" s="51">
        <v>67</v>
      </c>
      <c r="G22" s="51">
        <v>66</v>
      </c>
      <c r="H22" s="51">
        <v>59</v>
      </c>
      <c r="I22" s="51">
        <v>89.39</v>
      </c>
    </row>
    <row r="23" spans="1:9" x14ac:dyDescent="0.25">
      <c r="A23" s="51">
        <v>2026</v>
      </c>
      <c r="B23" s="51" t="s">
        <v>440</v>
      </c>
      <c r="C23" s="51" t="s">
        <v>446</v>
      </c>
      <c r="D23" s="51" t="s">
        <v>233</v>
      </c>
      <c r="E23" s="51" t="s">
        <v>443</v>
      </c>
      <c r="F23" s="51">
        <v>42439</v>
      </c>
      <c r="G23" s="51">
        <v>42049</v>
      </c>
      <c r="H23" s="51">
        <v>32765</v>
      </c>
      <c r="I23" s="51">
        <v>77.92</v>
      </c>
    </row>
    <row r="24" spans="1:9" ht="38.25" x14ac:dyDescent="0.25">
      <c r="A24" s="51">
        <v>2026</v>
      </c>
      <c r="B24" s="51" t="s">
        <v>440</v>
      </c>
      <c r="C24" s="51" t="s">
        <v>446</v>
      </c>
      <c r="D24" s="51" t="s">
        <v>444</v>
      </c>
      <c r="E24" s="51" t="s">
        <v>198</v>
      </c>
      <c r="F24" s="51">
        <v>74764</v>
      </c>
      <c r="G24" s="51">
        <v>73988</v>
      </c>
      <c r="H24" s="51">
        <v>54131</v>
      </c>
      <c r="I24" s="51">
        <v>73.16</v>
      </c>
    </row>
    <row r="25" spans="1:9" ht="38.25" x14ac:dyDescent="0.25">
      <c r="A25" s="51">
        <v>2026</v>
      </c>
      <c r="B25" s="51" t="s">
        <v>440</v>
      </c>
      <c r="C25" s="51" t="s">
        <v>446</v>
      </c>
      <c r="D25" s="51" t="s">
        <v>444</v>
      </c>
      <c r="E25" s="51" t="s">
        <v>199</v>
      </c>
      <c r="F25" s="51">
        <v>5208</v>
      </c>
      <c r="G25" s="51">
        <v>5090</v>
      </c>
      <c r="H25" s="51">
        <v>1949</v>
      </c>
      <c r="I25" s="51">
        <v>38.29</v>
      </c>
    </row>
    <row r="26" spans="1:9" ht="38.25" x14ac:dyDescent="0.25">
      <c r="A26" s="51">
        <v>2026</v>
      </c>
      <c r="B26" s="51" t="s">
        <v>440</v>
      </c>
      <c r="C26" s="51" t="s">
        <v>446</v>
      </c>
      <c r="D26" s="51" t="s">
        <v>444</v>
      </c>
      <c r="E26" s="51" t="s">
        <v>442</v>
      </c>
      <c r="F26" s="51">
        <v>108</v>
      </c>
      <c r="G26" s="51">
        <v>107</v>
      </c>
      <c r="H26" s="51">
        <v>77</v>
      </c>
      <c r="I26" s="51">
        <v>71.959999999999994</v>
      </c>
    </row>
    <row r="27" spans="1:9" ht="38.25" x14ac:dyDescent="0.25">
      <c r="A27" s="51">
        <v>2026</v>
      </c>
      <c r="B27" s="51" t="s">
        <v>440</v>
      </c>
      <c r="C27" s="51" t="s">
        <v>446</v>
      </c>
      <c r="D27" s="51" t="s">
        <v>444</v>
      </c>
      <c r="E27" s="51" t="s">
        <v>447</v>
      </c>
      <c r="F27" s="51">
        <v>80080</v>
      </c>
      <c r="G27" s="51">
        <v>79185</v>
      </c>
      <c r="H27" s="51">
        <v>56157</v>
      </c>
      <c r="I27" s="51">
        <v>70.92</v>
      </c>
    </row>
    <row r="28" spans="1:9" ht="25.5" x14ac:dyDescent="0.25">
      <c r="A28" s="51">
        <v>2026</v>
      </c>
      <c r="B28" s="51" t="s">
        <v>440</v>
      </c>
      <c r="C28" s="51" t="s">
        <v>144</v>
      </c>
      <c r="D28" s="51" t="s">
        <v>373</v>
      </c>
      <c r="E28" s="51" t="s">
        <v>448</v>
      </c>
      <c r="F28" s="51">
        <v>183822</v>
      </c>
      <c r="G28" s="51">
        <v>180264</v>
      </c>
      <c r="H28" s="51">
        <v>96566</v>
      </c>
      <c r="I28" s="51">
        <v>53.57</v>
      </c>
    </row>
    <row r="29" spans="1:9" x14ac:dyDescent="0.25">
      <c r="A29" s="51">
        <v>2026</v>
      </c>
      <c r="B29" s="51" t="s">
        <v>449</v>
      </c>
      <c r="C29" s="51" t="s">
        <v>441</v>
      </c>
      <c r="D29" s="51" t="s">
        <v>232</v>
      </c>
      <c r="E29" s="51" t="s">
        <v>198</v>
      </c>
      <c r="F29" s="51">
        <v>34787</v>
      </c>
      <c r="G29" s="51">
        <v>33683</v>
      </c>
      <c r="H29" s="51">
        <v>10601</v>
      </c>
      <c r="I29" s="51">
        <v>31.47</v>
      </c>
    </row>
    <row r="30" spans="1:9" x14ac:dyDescent="0.25">
      <c r="A30" s="51">
        <v>2026</v>
      </c>
      <c r="B30" s="51" t="s">
        <v>449</v>
      </c>
      <c r="C30" s="51" t="s">
        <v>441</v>
      </c>
      <c r="D30" s="51" t="s">
        <v>232</v>
      </c>
      <c r="E30" s="51" t="s">
        <v>199</v>
      </c>
      <c r="F30" s="51">
        <v>17207</v>
      </c>
      <c r="G30" s="51">
        <v>16212</v>
      </c>
      <c r="H30" s="51">
        <v>1798</v>
      </c>
      <c r="I30" s="51">
        <v>11.09</v>
      </c>
    </row>
    <row r="31" spans="1:9" x14ac:dyDescent="0.25">
      <c r="A31" s="51">
        <v>2026</v>
      </c>
      <c r="B31" s="51" t="s">
        <v>449</v>
      </c>
      <c r="C31" s="51" t="s">
        <v>441</v>
      </c>
      <c r="D31" s="51" t="s">
        <v>232</v>
      </c>
      <c r="E31" s="51" t="s">
        <v>443</v>
      </c>
      <c r="F31" s="51">
        <v>51994</v>
      </c>
      <c r="G31" s="51">
        <v>49895</v>
      </c>
      <c r="H31" s="51">
        <v>12399</v>
      </c>
      <c r="I31" s="51">
        <v>24.85</v>
      </c>
    </row>
    <row r="32" spans="1:9" x14ac:dyDescent="0.25">
      <c r="A32" s="51">
        <v>2026</v>
      </c>
      <c r="B32" s="51" t="s">
        <v>449</v>
      </c>
      <c r="C32" s="51" t="s">
        <v>441</v>
      </c>
      <c r="D32" s="51" t="s">
        <v>233</v>
      </c>
      <c r="E32" s="51" t="s">
        <v>198</v>
      </c>
      <c r="F32" s="51">
        <v>34656</v>
      </c>
      <c r="G32" s="51">
        <v>33985</v>
      </c>
      <c r="H32" s="51">
        <v>17352</v>
      </c>
      <c r="I32" s="51">
        <v>51.06</v>
      </c>
    </row>
    <row r="33" spans="1:9" x14ac:dyDescent="0.25">
      <c r="A33" s="51">
        <v>2026</v>
      </c>
      <c r="B33" s="51" t="s">
        <v>449</v>
      </c>
      <c r="C33" s="51" t="s">
        <v>441</v>
      </c>
      <c r="D33" s="51" t="s">
        <v>233</v>
      </c>
      <c r="E33" s="51" t="s">
        <v>199</v>
      </c>
      <c r="F33" s="51">
        <v>17125</v>
      </c>
      <c r="G33" s="51">
        <v>16532</v>
      </c>
      <c r="H33" s="51">
        <v>4226</v>
      </c>
      <c r="I33" s="51">
        <v>25.56</v>
      </c>
    </row>
    <row r="34" spans="1:9" x14ac:dyDescent="0.25">
      <c r="A34" s="51">
        <v>2026</v>
      </c>
      <c r="B34" s="51" t="s">
        <v>449</v>
      </c>
      <c r="C34" s="51" t="s">
        <v>441</v>
      </c>
      <c r="D34" s="51" t="s">
        <v>234</v>
      </c>
      <c r="E34" s="51" t="s">
        <v>198</v>
      </c>
      <c r="F34" s="51">
        <v>102563</v>
      </c>
      <c r="G34" s="51">
        <v>100161</v>
      </c>
      <c r="H34" s="51">
        <v>44160</v>
      </c>
      <c r="I34" s="51">
        <v>44.09</v>
      </c>
    </row>
    <row r="35" spans="1:9" x14ac:dyDescent="0.25">
      <c r="A35" s="51">
        <v>2026</v>
      </c>
      <c r="B35" s="51" t="s">
        <v>449</v>
      </c>
      <c r="C35" s="51" t="s">
        <v>441</v>
      </c>
      <c r="D35" s="51" t="s">
        <v>234</v>
      </c>
      <c r="E35" s="51" t="s">
        <v>199</v>
      </c>
      <c r="F35" s="51">
        <v>28471</v>
      </c>
      <c r="G35" s="51">
        <v>27012</v>
      </c>
      <c r="H35" s="51">
        <v>3227</v>
      </c>
      <c r="I35" s="51">
        <v>11.95</v>
      </c>
    </row>
    <row r="36" spans="1:9" x14ac:dyDescent="0.25">
      <c r="A36" s="51">
        <v>2026</v>
      </c>
      <c r="B36" s="51" t="s">
        <v>449</v>
      </c>
      <c r="C36" s="51" t="s">
        <v>441</v>
      </c>
      <c r="D36" s="51" t="s">
        <v>234</v>
      </c>
      <c r="E36" s="51" t="s">
        <v>442</v>
      </c>
      <c r="F36" s="51">
        <v>2709</v>
      </c>
      <c r="G36" s="51">
        <v>2621</v>
      </c>
      <c r="H36" s="51">
        <v>746</v>
      </c>
      <c r="I36" s="51">
        <v>28.46</v>
      </c>
    </row>
    <row r="37" spans="1:9" x14ac:dyDescent="0.25">
      <c r="A37" s="51">
        <v>2026</v>
      </c>
      <c r="B37" s="51" t="s">
        <v>449</v>
      </c>
      <c r="C37" s="51" t="s">
        <v>441</v>
      </c>
      <c r="D37" s="51" t="s">
        <v>234</v>
      </c>
      <c r="E37" s="51" t="s">
        <v>443</v>
      </c>
      <c r="F37" s="51">
        <v>133743</v>
      </c>
      <c r="G37" s="51">
        <v>129794</v>
      </c>
      <c r="H37" s="51">
        <v>48133</v>
      </c>
      <c r="I37" s="51">
        <v>37.08</v>
      </c>
    </row>
    <row r="38" spans="1:9" ht="25.5" x14ac:dyDescent="0.25">
      <c r="A38" s="51">
        <v>2026</v>
      </c>
      <c r="B38" s="51" t="s">
        <v>450</v>
      </c>
      <c r="C38" s="51" t="s">
        <v>451</v>
      </c>
      <c r="D38" s="51" t="s">
        <v>232</v>
      </c>
      <c r="E38" s="51" t="s">
        <v>198</v>
      </c>
      <c r="F38" s="51">
        <v>102563</v>
      </c>
      <c r="G38" s="51">
        <v>100161</v>
      </c>
      <c r="H38" s="51">
        <v>44160</v>
      </c>
      <c r="I38" s="51">
        <v>44.09</v>
      </c>
    </row>
    <row r="39" spans="1:9" ht="25.5" x14ac:dyDescent="0.25">
      <c r="A39" s="51">
        <v>2026</v>
      </c>
      <c r="B39" s="51" t="s">
        <v>450</v>
      </c>
      <c r="C39" s="51" t="s">
        <v>451</v>
      </c>
      <c r="D39" s="51" t="s">
        <v>232</v>
      </c>
      <c r="E39" s="51" t="s">
        <v>199</v>
      </c>
      <c r="F39" s="51">
        <v>28471</v>
      </c>
      <c r="G39" s="51">
        <v>27012</v>
      </c>
      <c r="H39" s="51">
        <v>3227</v>
      </c>
      <c r="I39" s="51">
        <v>11.95</v>
      </c>
    </row>
    <row r="40" spans="1:9" ht="25.5" x14ac:dyDescent="0.25">
      <c r="A40" s="51">
        <v>2026</v>
      </c>
      <c r="B40" s="51" t="s">
        <v>450</v>
      </c>
      <c r="C40" s="51" t="s">
        <v>451</v>
      </c>
      <c r="D40" s="51" t="s">
        <v>232</v>
      </c>
      <c r="E40" s="51" t="s">
        <v>442</v>
      </c>
      <c r="F40" s="51">
        <v>2709</v>
      </c>
      <c r="G40" s="51">
        <v>2621</v>
      </c>
      <c r="H40" s="51">
        <v>746</v>
      </c>
      <c r="I40" s="51">
        <v>28.46</v>
      </c>
    </row>
    <row r="41" spans="1:9" ht="25.5" x14ac:dyDescent="0.25">
      <c r="A41" s="51">
        <v>2026</v>
      </c>
      <c r="B41" s="51" t="s">
        <v>450</v>
      </c>
      <c r="C41" s="51" t="s">
        <v>451</v>
      </c>
      <c r="D41" s="51" t="s">
        <v>232</v>
      </c>
      <c r="E41" s="51" t="s">
        <v>443</v>
      </c>
      <c r="F41" s="51">
        <v>133743</v>
      </c>
      <c r="G41" s="51">
        <v>129794</v>
      </c>
      <c r="H41" s="51">
        <v>48133</v>
      </c>
      <c r="I41" s="51">
        <v>37.08</v>
      </c>
    </row>
    <row r="42" spans="1:9" ht="25.5" x14ac:dyDescent="0.25">
      <c r="A42" s="51">
        <v>2026</v>
      </c>
      <c r="B42" s="51" t="s">
        <v>450</v>
      </c>
      <c r="C42" s="51" t="s">
        <v>451</v>
      </c>
      <c r="D42" s="51" t="s">
        <v>233</v>
      </c>
      <c r="E42" s="51" t="s">
        <v>198</v>
      </c>
      <c r="F42" s="51">
        <v>105176</v>
      </c>
      <c r="G42" s="51">
        <v>103683</v>
      </c>
      <c r="H42" s="51">
        <v>67642</v>
      </c>
      <c r="I42" s="51">
        <v>65.239999999999995</v>
      </c>
    </row>
    <row r="43" spans="1:9" ht="25.5" x14ac:dyDescent="0.25">
      <c r="A43" s="51">
        <v>2026</v>
      </c>
      <c r="B43" s="51" t="s">
        <v>450</v>
      </c>
      <c r="C43" s="51" t="s">
        <v>451</v>
      </c>
      <c r="D43" s="51" t="s">
        <v>233</v>
      </c>
      <c r="E43" s="51" t="s">
        <v>199</v>
      </c>
      <c r="F43" s="51">
        <v>45133</v>
      </c>
      <c r="G43" s="51">
        <v>43749</v>
      </c>
      <c r="H43" s="51">
        <v>13001</v>
      </c>
      <c r="I43" s="51">
        <v>29.72</v>
      </c>
    </row>
    <row r="44" spans="1:9" ht="25.5" x14ac:dyDescent="0.25">
      <c r="A44" s="51">
        <v>2026</v>
      </c>
      <c r="B44" s="51" t="s">
        <v>450</v>
      </c>
      <c r="C44" s="51" t="s">
        <v>451</v>
      </c>
      <c r="D44" s="51" t="s">
        <v>233</v>
      </c>
      <c r="E44" s="51" t="s">
        <v>442</v>
      </c>
      <c r="F44" s="51">
        <v>3545</v>
      </c>
      <c r="G44" s="51">
        <v>3450</v>
      </c>
      <c r="H44" s="51">
        <v>1767</v>
      </c>
      <c r="I44" s="51">
        <v>51.22</v>
      </c>
    </row>
    <row r="45" spans="1:9" ht="25.5" x14ac:dyDescent="0.25">
      <c r="A45" s="51">
        <v>2026</v>
      </c>
      <c r="B45" s="51" t="s">
        <v>450</v>
      </c>
      <c r="C45" s="51" t="s">
        <v>451</v>
      </c>
      <c r="D45" s="51" t="s">
        <v>233</v>
      </c>
      <c r="E45" s="51" t="s">
        <v>443</v>
      </c>
      <c r="F45" s="51">
        <v>153854</v>
      </c>
      <c r="G45" s="51">
        <v>150882</v>
      </c>
      <c r="H45" s="51">
        <v>82410</v>
      </c>
      <c r="I45" s="51">
        <v>54.62</v>
      </c>
    </row>
    <row r="46" spans="1:9" x14ac:dyDescent="0.25">
      <c r="A46" s="51">
        <v>2026</v>
      </c>
      <c r="B46" s="51" t="s">
        <v>144</v>
      </c>
      <c r="C46" s="51" t="s">
        <v>373</v>
      </c>
      <c r="D46" s="51" t="s">
        <v>373</v>
      </c>
      <c r="E46" s="51" t="s">
        <v>452</v>
      </c>
      <c r="F46" s="51">
        <v>287597</v>
      </c>
      <c r="G46" s="51">
        <v>280676</v>
      </c>
      <c r="H46" s="51">
        <v>130543</v>
      </c>
      <c r="I46" s="51">
        <v>46.51</v>
      </c>
    </row>
    <row r="47" spans="1:9" x14ac:dyDescent="0.25">
      <c r="A47" s="47">
        <v>2025</v>
      </c>
      <c r="B47" s="47" t="s">
        <v>440</v>
      </c>
      <c r="C47" s="47" t="s">
        <v>441</v>
      </c>
      <c r="D47" s="47" t="s">
        <v>232</v>
      </c>
      <c r="E47" s="47" t="s">
        <v>198</v>
      </c>
      <c r="F47" s="47">
        <v>40460</v>
      </c>
      <c r="G47" s="47">
        <v>39536</v>
      </c>
      <c r="H47" s="47">
        <v>11644</v>
      </c>
      <c r="I47" s="47">
        <v>29.45</v>
      </c>
    </row>
    <row r="48" spans="1:9" x14ac:dyDescent="0.25">
      <c r="A48" s="47">
        <v>2025</v>
      </c>
      <c r="B48" s="47" t="s">
        <v>440</v>
      </c>
      <c r="C48" s="47" t="s">
        <v>441</v>
      </c>
      <c r="D48" s="47" t="s">
        <v>232</v>
      </c>
      <c r="E48" s="47" t="s">
        <v>199</v>
      </c>
      <c r="F48" s="47">
        <v>9152</v>
      </c>
      <c r="G48" s="47">
        <v>8804</v>
      </c>
      <c r="H48" s="47">
        <v>1739</v>
      </c>
      <c r="I48" s="47">
        <v>19.75</v>
      </c>
    </row>
    <row r="49" spans="1:9" x14ac:dyDescent="0.25">
      <c r="A49" s="47">
        <v>2025</v>
      </c>
      <c r="B49" s="47" t="s">
        <v>440</v>
      </c>
      <c r="C49" s="47" t="s">
        <v>441</v>
      </c>
      <c r="D49" s="47" t="s">
        <v>232</v>
      </c>
      <c r="E49" s="47" t="s">
        <v>443</v>
      </c>
      <c r="F49" s="47">
        <v>49612</v>
      </c>
      <c r="G49" s="47">
        <v>48340</v>
      </c>
      <c r="H49" s="47">
        <v>13383</v>
      </c>
      <c r="I49" s="47">
        <v>27.69</v>
      </c>
    </row>
    <row r="50" spans="1:9" x14ac:dyDescent="0.25">
      <c r="A50" s="47">
        <v>2025</v>
      </c>
      <c r="B50" s="47" t="s">
        <v>440</v>
      </c>
      <c r="C50" s="47" t="s">
        <v>441</v>
      </c>
      <c r="D50" s="47" t="s">
        <v>233</v>
      </c>
      <c r="E50" s="47" t="s">
        <v>198</v>
      </c>
      <c r="F50" s="47">
        <v>37125</v>
      </c>
      <c r="G50" s="47">
        <v>36597</v>
      </c>
      <c r="H50" s="47">
        <v>19181</v>
      </c>
      <c r="I50" s="47">
        <v>52.41</v>
      </c>
    </row>
    <row r="51" spans="1:9" x14ac:dyDescent="0.25">
      <c r="A51" s="47">
        <v>2025</v>
      </c>
      <c r="B51" s="47" t="s">
        <v>440</v>
      </c>
      <c r="C51" s="47" t="s">
        <v>441</v>
      </c>
      <c r="D51" s="47" t="s">
        <v>233</v>
      </c>
      <c r="E51" s="47" t="s">
        <v>199</v>
      </c>
      <c r="F51" s="47">
        <v>25333</v>
      </c>
      <c r="G51" s="47">
        <v>24688</v>
      </c>
      <c r="H51" s="47">
        <v>11832</v>
      </c>
      <c r="I51" s="47">
        <v>47.93</v>
      </c>
    </row>
    <row r="52" spans="1:9" x14ac:dyDescent="0.25">
      <c r="A52" s="47">
        <v>2025</v>
      </c>
      <c r="B52" s="47" t="s">
        <v>440</v>
      </c>
      <c r="C52" s="47" t="s">
        <v>441</v>
      </c>
      <c r="D52" s="47" t="s">
        <v>233</v>
      </c>
      <c r="E52" s="47" t="s">
        <v>443</v>
      </c>
      <c r="F52" s="47">
        <v>62458</v>
      </c>
      <c r="G52" s="47">
        <v>61285</v>
      </c>
      <c r="H52" s="47">
        <v>31013</v>
      </c>
      <c r="I52" s="47">
        <v>50.6</v>
      </c>
    </row>
    <row r="53" spans="1:9" ht="38.25" x14ac:dyDescent="0.25">
      <c r="A53" s="47">
        <v>2025</v>
      </c>
      <c r="B53" s="47" t="s">
        <v>440</v>
      </c>
      <c r="C53" s="47" t="s">
        <v>441</v>
      </c>
      <c r="D53" s="47" t="s">
        <v>444</v>
      </c>
      <c r="E53" s="47" t="s">
        <v>198</v>
      </c>
      <c r="F53" s="47">
        <v>77585</v>
      </c>
      <c r="G53" s="47">
        <v>76133</v>
      </c>
      <c r="H53" s="47">
        <v>30825</v>
      </c>
      <c r="I53" s="47">
        <v>40.49</v>
      </c>
    </row>
    <row r="54" spans="1:9" ht="38.25" x14ac:dyDescent="0.25">
      <c r="A54" s="47">
        <v>2025</v>
      </c>
      <c r="B54" s="47" t="s">
        <v>440</v>
      </c>
      <c r="C54" s="47" t="s">
        <v>441</v>
      </c>
      <c r="D54" s="47" t="s">
        <v>444</v>
      </c>
      <c r="E54" s="47" t="s">
        <v>199</v>
      </c>
      <c r="F54" s="47">
        <v>34485</v>
      </c>
      <c r="G54" s="47">
        <v>33492</v>
      </c>
      <c r="H54" s="47">
        <v>13571</v>
      </c>
      <c r="I54" s="47">
        <v>40.520000000000003</v>
      </c>
    </row>
    <row r="55" spans="1:9" ht="38.25" x14ac:dyDescent="0.25">
      <c r="A55" s="47">
        <v>2025</v>
      </c>
      <c r="B55" s="47" t="s">
        <v>440</v>
      </c>
      <c r="C55" s="47" t="s">
        <v>441</v>
      </c>
      <c r="D55" s="47" t="s">
        <v>444</v>
      </c>
      <c r="E55" s="47" t="s">
        <v>445</v>
      </c>
      <c r="F55" s="47">
        <v>112070</v>
      </c>
      <c r="G55" s="47">
        <v>109625</v>
      </c>
      <c r="H55" s="47">
        <v>44396</v>
      </c>
      <c r="I55" s="47">
        <v>40.5</v>
      </c>
    </row>
    <row r="56" spans="1:9" x14ac:dyDescent="0.25">
      <c r="A56" s="47">
        <v>2025</v>
      </c>
      <c r="B56" s="47" t="s">
        <v>440</v>
      </c>
      <c r="C56" s="47" t="s">
        <v>446</v>
      </c>
      <c r="D56" s="47" t="s">
        <v>232</v>
      </c>
      <c r="E56" s="47" t="s">
        <v>198</v>
      </c>
      <c r="F56" s="47">
        <v>38447</v>
      </c>
      <c r="G56" s="47">
        <v>37998</v>
      </c>
      <c r="H56" s="47">
        <v>23329</v>
      </c>
      <c r="I56" s="47">
        <v>61.4</v>
      </c>
    </row>
    <row r="57" spans="1:9" x14ac:dyDescent="0.25">
      <c r="A57" s="47">
        <v>2025</v>
      </c>
      <c r="B57" s="47" t="s">
        <v>440</v>
      </c>
      <c r="C57" s="47" t="s">
        <v>446</v>
      </c>
      <c r="D57" s="47" t="s">
        <v>232</v>
      </c>
      <c r="E57" s="47" t="s">
        <v>199</v>
      </c>
      <c r="F57" s="47">
        <v>1670</v>
      </c>
      <c r="G57" s="47">
        <v>1620</v>
      </c>
      <c r="H57" s="47">
        <v>573</v>
      </c>
      <c r="I57" s="47">
        <v>35.369999999999997</v>
      </c>
    </row>
    <row r="58" spans="1:9" x14ac:dyDescent="0.25">
      <c r="A58" s="47">
        <v>2025</v>
      </c>
      <c r="B58" s="47" t="s">
        <v>440</v>
      </c>
      <c r="C58" s="47" t="s">
        <v>446</v>
      </c>
      <c r="D58" s="47" t="s">
        <v>232</v>
      </c>
      <c r="E58" s="47" t="s">
        <v>443</v>
      </c>
      <c r="F58" s="47">
        <v>40117</v>
      </c>
      <c r="G58" s="47">
        <v>39618</v>
      </c>
      <c r="H58" s="47">
        <v>23902</v>
      </c>
      <c r="I58" s="47">
        <v>60.33</v>
      </c>
    </row>
    <row r="59" spans="1:9" x14ac:dyDescent="0.25">
      <c r="A59" s="47">
        <v>2025</v>
      </c>
      <c r="B59" s="47" t="s">
        <v>440</v>
      </c>
      <c r="C59" s="47" t="s">
        <v>446</v>
      </c>
      <c r="D59" s="47" t="s">
        <v>233</v>
      </c>
      <c r="E59" s="47" t="s">
        <v>198</v>
      </c>
      <c r="F59" s="47">
        <v>39823</v>
      </c>
      <c r="G59" s="47">
        <v>39541</v>
      </c>
      <c r="H59" s="47">
        <v>29795</v>
      </c>
      <c r="I59" s="47">
        <v>75.349999999999994</v>
      </c>
    </row>
    <row r="60" spans="1:9" x14ac:dyDescent="0.25">
      <c r="A60" s="47">
        <v>2025</v>
      </c>
      <c r="B60" s="47" t="s">
        <v>440</v>
      </c>
      <c r="C60" s="47" t="s">
        <v>446</v>
      </c>
      <c r="D60" s="47" t="s">
        <v>233</v>
      </c>
      <c r="E60" s="47" t="s">
        <v>199</v>
      </c>
      <c r="F60" s="47">
        <v>3111</v>
      </c>
      <c r="G60" s="47">
        <v>3063</v>
      </c>
      <c r="H60" s="47">
        <v>1995</v>
      </c>
      <c r="I60" s="47">
        <v>65.13</v>
      </c>
    </row>
    <row r="61" spans="1:9" x14ac:dyDescent="0.25">
      <c r="A61" s="47">
        <v>2025</v>
      </c>
      <c r="B61" s="47" t="s">
        <v>440</v>
      </c>
      <c r="C61" s="47" t="s">
        <v>446</v>
      </c>
      <c r="D61" s="47" t="s">
        <v>233</v>
      </c>
      <c r="E61" s="47" t="s">
        <v>443</v>
      </c>
      <c r="F61" s="47">
        <v>42934</v>
      </c>
      <c r="G61" s="47">
        <v>42604</v>
      </c>
      <c r="H61" s="47">
        <v>31790</v>
      </c>
      <c r="I61" s="47">
        <v>74.62</v>
      </c>
    </row>
    <row r="62" spans="1:9" ht="38.25" x14ac:dyDescent="0.25">
      <c r="A62" s="47">
        <v>2025</v>
      </c>
      <c r="B62" s="47" t="s">
        <v>440</v>
      </c>
      <c r="C62" s="47" t="s">
        <v>446</v>
      </c>
      <c r="D62" s="47" t="s">
        <v>444</v>
      </c>
      <c r="E62" s="47" t="s">
        <v>198</v>
      </c>
      <c r="F62" s="47">
        <v>78270</v>
      </c>
      <c r="G62" s="47">
        <v>77539</v>
      </c>
      <c r="H62" s="47">
        <v>53124</v>
      </c>
      <c r="I62" s="47">
        <v>68.510000000000005</v>
      </c>
    </row>
    <row r="63" spans="1:9" ht="38.25" x14ac:dyDescent="0.25">
      <c r="A63" s="47">
        <v>2025</v>
      </c>
      <c r="B63" s="47" t="s">
        <v>440</v>
      </c>
      <c r="C63" s="47" t="s">
        <v>446</v>
      </c>
      <c r="D63" s="47" t="s">
        <v>444</v>
      </c>
      <c r="E63" s="47" t="s">
        <v>199</v>
      </c>
      <c r="F63" s="47">
        <v>4781</v>
      </c>
      <c r="G63" s="47">
        <v>4683</v>
      </c>
      <c r="H63" s="47">
        <v>2568</v>
      </c>
      <c r="I63" s="47">
        <v>54.84</v>
      </c>
    </row>
    <row r="64" spans="1:9" ht="38.25" x14ac:dyDescent="0.25">
      <c r="A64" s="47">
        <v>2025</v>
      </c>
      <c r="B64" s="47" t="s">
        <v>440</v>
      </c>
      <c r="C64" s="47" t="s">
        <v>446</v>
      </c>
      <c r="D64" s="47" t="s">
        <v>444</v>
      </c>
      <c r="E64" s="47" t="s">
        <v>447</v>
      </c>
      <c r="F64" s="47">
        <v>83051</v>
      </c>
      <c r="G64" s="47">
        <v>82222</v>
      </c>
      <c r="H64" s="47">
        <v>55692</v>
      </c>
      <c r="I64" s="47">
        <v>67.73</v>
      </c>
    </row>
    <row r="65" spans="1:9" ht="25.5" x14ac:dyDescent="0.25">
      <c r="A65" s="47">
        <v>2025</v>
      </c>
      <c r="B65" s="47" t="s">
        <v>440</v>
      </c>
      <c r="C65" s="47" t="s">
        <v>144</v>
      </c>
      <c r="D65" s="47" t="s">
        <v>373</v>
      </c>
      <c r="E65" s="47" t="s">
        <v>448</v>
      </c>
      <c r="F65" s="47">
        <v>195121</v>
      </c>
      <c r="G65" s="47">
        <v>191847</v>
      </c>
      <c r="H65" s="47">
        <v>100088</v>
      </c>
      <c r="I65" s="47">
        <v>52.17</v>
      </c>
    </row>
    <row r="66" spans="1:9" x14ac:dyDescent="0.25">
      <c r="A66" s="47">
        <v>2025</v>
      </c>
      <c r="B66" s="47" t="s">
        <v>449</v>
      </c>
      <c r="C66" s="47" t="s">
        <v>441</v>
      </c>
      <c r="D66" s="47" t="s">
        <v>232</v>
      </c>
      <c r="E66" s="47" t="s">
        <v>198</v>
      </c>
      <c r="F66" s="47">
        <v>42481</v>
      </c>
      <c r="G66" s="47">
        <v>41444</v>
      </c>
      <c r="H66" s="47">
        <v>10806</v>
      </c>
      <c r="I66" s="47">
        <v>26.07</v>
      </c>
    </row>
    <row r="67" spans="1:9" x14ac:dyDescent="0.25">
      <c r="A67" s="47">
        <v>2025</v>
      </c>
      <c r="B67" s="47" t="s">
        <v>449</v>
      </c>
      <c r="C67" s="47" t="s">
        <v>441</v>
      </c>
      <c r="D67" s="47" t="s">
        <v>232</v>
      </c>
      <c r="E67" s="47" t="s">
        <v>199</v>
      </c>
      <c r="F67" s="47">
        <v>17424</v>
      </c>
      <c r="G67" s="47">
        <v>16632</v>
      </c>
      <c r="H67" s="47">
        <v>3505</v>
      </c>
      <c r="I67" s="47">
        <v>21.07</v>
      </c>
    </row>
    <row r="68" spans="1:9" x14ac:dyDescent="0.25">
      <c r="A68" s="47">
        <v>2025</v>
      </c>
      <c r="B68" s="47" t="s">
        <v>449</v>
      </c>
      <c r="C68" s="47" t="s">
        <v>441</v>
      </c>
      <c r="D68" s="47" t="s">
        <v>232</v>
      </c>
      <c r="E68" s="47" t="s">
        <v>443</v>
      </c>
      <c r="F68" s="47">
        <v>59905</v>
      </c>
      <c r="G68" s="47">
        <v>58076</v>
      </c>
      <c r="H68" s="47">
        <v>14311</v>
      </c>
      <c r="I68" s="47">
        <v>24.64</v>
      </c>
    </row>
    <row r="69" spans="1:9" x14ac:dyDescent="0.25">
      <c r="A69" s="47">
        <v>2025</v>
      </c>
      <c r="B69" s="47" t="s">
        <v>449</v>
      </c>
      <c r="C69" s="47" t="s">
        <v>441</v>
      </c>
      <c r="D69" s="47" t="s">
        <v>233</v>
      </c>
      <c r="E69" s="47" t="s">
        <v>198</v>
      </c>
      <c r="F69" s="47">
        <v>40823</v>
      </c>
      <c r="G69" s="47">
        <v>40131</v>
      </c>
      <c r="H69" s="47">
        <v>16926</v>
      </c>
      <c r="I69" s="47">
        <v>42.18</v>
      </c>
    </row>
    <row r="70" spans="1:9" x14ac:dyDescent="0.25">
      <c r="A70" s="47">
        <v>2025</v>
      </c>
      <c r="B70" s="47" t="s">
        <v>449</v>
      </c>
      <c r="C70" s="47" t="s">
        <v>441</v>
      </c>
      <c r="D70" s="47" t="s">
        <v>233</v>
      </c>
      <c r="E70" s="47" t="s">
        <v>199</v>
      </c>
      <c r="F70" s="47">
        <v>18526</v>
      </c>
      <c r="G70" s="47">
        <v>18019</v>
      </c>
      <c r="H70" s="47">
        <v>7569</v>
      </c>
      <c r="I70" s="47">
        <v>42.01</v>
      </c>
    </row>
    <row r="71" spans="1:9" x14ac:dyDescent="0.25">
      <c r="A71" s="47">
        <v>2025</v>
      </c>
      <c r="B71" s="47" t="s">
        <v>449</v>
      </c>
      <c r="C71" s="47" t="s">
        <v>441</v>
      </c>
      <c r="D71" s="47" t="s">
        <v>233</v>
      </c>
      <c r="E71" s="47" t="s">
        <v>443</v>
      </c>
      <c r="F71" s="47">
        <v>59349</v>
      </c>
      <c r="G71" s="47">
        <v>58150</v>
      </c>
      <c r="H71" s="47">
        <v>24495</v>
      </c>
      <c r="I71" s="47">
        <v>42.12</v>
      </c>
    </row>
    <row r="72" spans="1:9" ht="38.25" x14ac:dyDescent="0.25">
      <c r="A72" s="47">
        <v>2025</v>
      </c>
      <c r="B72" s="47" t="s">
        <v>449</v>
      </c>
      <c r="C72" s="47" t="s">
        <v>441</v>
      </c>
      <c r="D72" s="47" t="s">
        <v>444</v>
      </c>
      <c r="E72" s="47" t="s">
        <v>198</v>
      </c>
      <c r="F72" s="47">
        <v>83304</v>
      </c>
      <c r="G72" s="47">
        <v>81575</v>
      </c>
      <c r="H72" s="47">
        <v>27732</v>
      </c>
      <c r="I72" s="47">
        <v>34</v>
      </c>
    </row>
    <row r="73" spans="1:9" ht="38.25" x14ac:dyDescent="0.25">
      <c r="A73" s="47">
        <v>2025</v>
      </c>
      <c r="B73" s="47" t="s">
        <v>449</v>
      </c>
      <c r="C73" s="47" t="s">
        <v>441</v>
      </c>
      <c r="D73" s="47" t="s">
        <v>444</v>
      </c>
      <c r="E73" s="47" t="s">
        <v>199</v>
      </c>
      <c r="F73" s="47">
        <v>35950</v>
      </c>
      <c r="G73" s="47">
        <v>34651</v>
      </c>
      <c r="H73" s="47">
        <v>11074</v>
      </c>
      <c r="I73" s="47">
        <v>31.96</v>
      </c>
    </row>
    <row r="74" spans="1:9" ht="25.5" x14ac:dyDescent="0.25">
      <c r="A74" s="47">
        <v>2025</v>
      </c>
      <c r="B74" s="47" t="s">
        <v>449</v>
      </c>
      <c r="C74" s="47" t="s">
        <v>144</v>
      </c>
      <c r="D74" s="47" t="s">
        <v>373</v>
      </c>
      <c r="E74" s="47" t="s">
        <v>453</v>
      </c>
      <c r="F74" s="47">
        <v>119254</v>
      </c>
      <c r="G74" s="47">
        <v>116226</v>
      </c>
      <c r="H74" s="47">
        <v>38806</v>
      </c>
      <c r="I74" s="47">
        <v>33.39</v>
      </c>
    </row>
    <row r="75" spans="1:9" ht="25.5" x14ac:dyDescent="0.25">
      <c r="A75" s="47">
        <v>2025</v>
      </c>
      <c r="B75" s="47" t="s">
        <v>454</v>
      </c>
      <c r="C75" s="47" t="s">
        <v>144</v>
      </c>
      <c r="D75" s="47" t="s">
        <v>373</v>
      </c>
      <c r="E75" s="47" t="s">
        <v>203</v>
      </c>
      <c r="F75" s="47">
        <v>314375</v>
      </c>
      <c r="G75" s="47">
        <v>308073</v>
      </c>
      <c r="H75" s="47">
        <v>138894</v>
      </c>
      <c r="I75" s="47">
        <v>45.08</v>
      </c>
    </row>
    <row r="76" spans="1:9" ht="25.5" x14ac:dyDescent="0.25">
      <c r="A76" s="47">
        <v>2025</v>
      </c>
      <c r="B76" s="47" t="s">
        <v>450</v>
      </c>
      <c r="C76" s="47" t="s">
        <v>451</v>
      </c>
      <c r="D76" s="47" t="s">
        <v>232</v>
      </c>
      <c r="E76" s="47" t="s">
        <v>198</v>
      </c>
      <c r="F76" s="47">
        <v>121388</v>
      </c>
      <c r="G76" s="47">
        <v>118978</v>
      </c>
      <c r="H76" s="47">
        <v>45779</v>
      </c>
      <c r="I76" s="47">
        <v>38.479999999999997</v>
      </c>
    </row>
    <row r="77" spans="1:9" ht="25.5" x14ac:dyDescent="0.25">
      <c r="A77" s="47">
        <v>2025</v>
      </c>
      <c r="B77" s="47" t="s">
        <v>450</v>
      </c>
      <c r="C77" s="47" t="s">
        <v>451</v>
      </c>
      <c r="D77" s="47" t="s">
        <v>232</v>
      </c>
      <c r="E77" s="47" t="s">
        <v>199</v>
      </c>
      <c r="F77" s="47">
        <v>28246</v>
      </c>
      <c r="G77" s="47">
        <v>27056</v>
      </c>
      <c r="H77" s="47">
        <v>5817</v>
      </c>
      <c r="I77" s="47">
        <v>21.5</v>
      </c>
    </row>
    <row r="78" spans="1:9" ht="25.5" x14ac:dyDescent="0.25">
      <c r="A78" s="47">
        <v>2025</v>
      </c>
      <c r="B78" s="47" t="s">
        <v>450</v>
      </c>
      <c r="C78" s="47" t="s">
        <v>451</v>
      </c>
      <c r="D78" s="47" t="s">
        <v>232</v>
      </c>
      <c r="E78" s="47" t="s">
        <v>443</v>
      </c>
      <c r="F78" s="47">
        <v>149634</v>
      </c>
      <c r="G78" s="47">
        <v>146034</v>
      </c>
      <c r="H78" s="47">
        <v>51596</v>
      </c>
      <c r="I78" s="47">
        <v>35.33</v>
      </c>
    </row>
    <row r="79" spans="1:9" ht="25.5" x14ac:dyDescent="0.25">
      <c r="A79" s="47">
        <v>2025</v>
      </c>
      <c r="B79" s="47" t="s">
        <v>450</v>
      </c>
      <c r="C79" s="47" t="s">
        <v>451</v>
      </c>
      <c r="D79" s="47" t="s">
        <v>233</v>
      </c>
      <c r="E79" s="47" t="s">
        <v>198</v>
      </c>
      <c r="F79" s="47">
        <v>117771</v>
      </c>
      <c r="G79" s="47">
        <v>116269</v>
      </c>
      <c r="H79" s="47">
        <v>65902</v>
      </c>
      <c r="I79" s="47">
        <v>56.68</v>
      </c>
    </row>
    <row r="80" spans="1:9" ht="25.5" x14ac:dyDescent="0.25">
      <c r="A80" s="47">
        <v>2025</v>
      </c>
      <c r="B80" s="47" t="s">
        <v>450</v>
      </c>
      <c r="C80" s="47" t="s">
        <v>451</v>
      </c>
      <c r="D80" s="47" t="s">
        <v>233</v>
      </c>
      <c r="E80" s="47" t="s">
        <v>199</v>
      </c>
      <c r="F80" s="47">
        <v>46970</v>
      </c>
      <c r="G80" s="47">
        <v>45770</v>
      </c>
      <c r="H80" s="47">
        <v>21396</v>
      </c>
      <c r="I80" s="47">
        <v>46.75</v>
      </c>
    </row>
    <row r="81" spans="1:9" ht="25.5" x14ac:dyDescent="0.25">
      <c r="A81" s="47">
        <v>2025</v>
      </c>
      <c r="B81" s="47" t="s">
        <v>450</v>
      </c>
      <c r="C81" s="47" t="s">
        <v>451</v>
      </c>
      <c r="D81" s="47" t="s">
        <v>233</v>
      </c>
      <c r="E81" s="47" t="s">
        <v>443</v>
      </c>
      <c r="F81" s="47">
        <v>164741</v>
      </c>
      <c r="G81" s="47">
        <v>162039</v>
      </c>
      <c r="H81" s="47">
        <v>87298</v>
      </c>
      <c r="I81" s="47">
        <v>53.87</v>
      </c>
    </row>
    <row r="82" spans="1:9" x14ac:dyDescent="0.25">
      <c r="A82" s="47">
        <v>2025</v>
      </c>
      <c r="B82" s="47" t="s">
        <v>144</v>
      </c>
      <c r="C82" s="47" t="s">
        <v>373</v>
      </c>
      <c r="D82" s="47" t="s">
        <v>373</v>
      </c>
      <c r="E82" s="47" t="s">
        <v>452</v>
      </c>
      <c r="F82" s="47">
        <v>314375</v>
      </c>
      <c r="G82" s="47">
        <v>308073</v>
      </c>
      <c r="H82" s="47">
        <v>138894</v>
      </c>
      <c r="I82" s="47">
        <v>45.08</v>
      </c>
    </row>
  </sheetData>
  <autoFilter ref="A3:I82" xr:uid="{00000000-0009-0000-0000-00001F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11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40" customWidth="1"/>
    <col min="2" max="2" width="7" customWidth="1"/>
    <col min="3" max="3" width="14" customWidth="1"/>
    <col min="4" max="4" width="13" customWidth="1"/>
    <col min="5" max="5" width="12" customWidth="1"/>
    <col min="6" max="6" width="14" customWidth="1"/>
    <col min="7" max="7" width="13" customWidth="1"/>
    <col min="8" max="8" width="12" customWidth="1"/>
    <col min="9" max="9" width="14" customWidth="1"/>
    <col min="10" max="10" width="13" customWidth="1"/>
    <col min="11" max="11" width="12" customWidth="1"/>
  </cols>
  <sheetData>
    <row r="1" spans="1:11" ht="21.75" customHeight="1" x14ac:dyDescent="0.25">
      <c r="A1" s="2" t="s">
        <v>455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25.5" x14ac:dyDescent="0.25">
      <c r="A3" s="42" t="s">
        <v>456</v>
      </c>
      <c r="B3" s="42" t="s">
        <v>121</v>
      </c>
      <c r="C3" s="42" t="s">
        <v>457</v>
      </c>
      <c r="D3" s="42" t="s">
        <v>458</v>
      </c>
      <c r="E3" s="42" t="s">
        <v>459</v>
      </c>
      <c r="F3" s="42" t="s">
        <v>460</v>
      </c>
      <c r="G3" s="42" t="s">
        <v>461</v>
      </c>
      <c r="H3" s="42" t="s">
        <v>462</v>
      </c>
      <c r="I3" s="42" t="s">
        <v>463</v>
      </c>
      <c r="J3" s="42" t="s">
        <v>464</v>
      </c>
      <c r="K3" s="42" t="s">
        <v>7</v>
      </c>
    </row>
    <row r="4" spans="1:11" x14ac:dyDescent="0.25">
      <c r="A4" s="51" t="s">
        <v>465</v>
      </c>
      <c r="B4" s="52">
        <v>2026</v>
      </c>
      <c r="C4" s="52">
        <v>24161</v>
      </c>
      <c r="D4" s="52">
        <v>20371</v>
      </c>
      <c r="E4" s="52">
        <v>84.31</v>
      </c>
      <c r="F4" s="52">
        <v>22147</v>
      </c>
      <c r="G4" s="52">
        <v>17305</v>
      </c>
      <c r="H4" s="52">
        <v>78.14</v>
      </c>
      <c r="I4" s="52">
        <v>46308</v>
      </c>
      <c r="J4" s="52">
        <v>37676</v>
      </c>
      <c r="K4" s="52">
        <v>81.36</v>
      </c>
    </row>
    <row r="5" spans="1:11" x14ac:dyDescent="0.25">
      <c r="A5" s="47" t="s">
        <v>465</v>
      </c>
      <c r="B5" s="48">
        <v>2025</v>
      </c>
      <c r="C5" s="48">
        <v>24611</v>
      </c>
      <c r="D5" s="48">
        <v>20917</v>
      </c>
      <c r="E5" s="48">
        <v>84.99</v>
      </c>
      <c r="F5" s="48">
        <v>22893</v>
      </c>
      <c r="G5" s="48">
        <v>18063</v>
      </c>
      <c r="H5" s="48">
        <v>78.900000000000006</v>
      </c>
      <c r="I5" s="48">
        <v>47504</v>
      </c>
      <c r="J5" s="48">
        <v>38980</v>
      </c>
      <c r="K5" s="48">
        <v>82.06</v>
      </c>
    </row>
    <row r="6" spans="1:11" x14ac:dyDescent="0.25">
      <c r="A6" s="51" t="s">
        <v>318</v>
      </c>
      <c r="B6" s="52">
        <v>2026</v>
      </c>
      <c r="C6" s="52">
        <v>170</v>
      </c>
      <c r="D6" s="52">
        <v>161</v>
      </c>
      <c r="E6" s="52">
        <v>94.71</v>
      </c>
      <c r="F6" s="52">
        <v>0</v>
      </c>
      <c r="G6" s="52">
        <v>0</v>
      </c>
      <c r="H6" s="52">
        <v>0</v>
      </c>
      <c r="I6" s="52">
        <v>170</v>
      </c>
      <c r="J6" s="52">
        <v>161</v>
      </c>
      <c r="K6" s="52">
        <v>94.71</v>
      </c>
    </row>
    <row r="7" spans="1:11" x14ac:dyDescent="0.25">
      <c r="A7" s="51" t="s">
        <v>466</v>
      </c>
      <c r="B7" s="52">
        <v>2026</v>
      </c>
      <c r="C7" s="52">
        <v>164</v>
      </c>
      <c r="D7" s="52">
        <v>164</v>
      </c>
      <c r="E7" s="52">
        <v>100</v>
      </c>
      <c r="F7" s="52">
        <v>0</v>
      </c>
      <c r="G7" s="52">
        <v>0</v>
      </c>
      <c r="H7" s="52">
        <v>0</v>
      </c>
      <c r="I7" s="52">
        <v>164</v>
      </c>
      <c r="J7" s="52">
        <v>164</v>
      </c>
      <c r="K7" s="52">
        <v>100</v>
      </c>
    </row>
    <row r="8" spans="1:11" x14ac:dyDescent="0.25">
      <c r="A8" s="51" t="s">
        <v>467</v>
      </c>
      <c r="B8" s="52">
        <v>2026</v>
      </c>
      <c r="C8" s="52">
        <v>2</v>
      </c>
      <c r="D8" s="52">
        <v>2</v>
      </c>
      <c r="E8" s="52">
        <v>100</v>
      </c>
      <c r="F8" s="52">
        <v>13</v>
      </c>
      <c r="G8" s="52">
        <v>10</v>
      </c>
      <c r="H8" s="52">
        <v>76.92</v>
      </c>
      <c r="I8" s="52">
        <v>15</v>
      </c>
      <c r="J8" s="52">
        <v>12</v>
      </c>
      <c r="K8" s="52">
        <v>80</v>
      </c>
    </row>
    <row r="9" spans="1:11" x14ac:dyDescent="0.25">
      <c r="A9" s="47" t="s">
        <v>467</v>
      </c>
      <c r="B9" s="48">
        <v>2025</v>
      </c>
      <c r="C9" s="48">
        <v>4</v>
      </c>
      <c r="D9" s="48">
        <v>4</v>
      </c>
      <c r="E9" s="48">
        <v>100</v>
      </c>
      <c r="F9" s="48">
        <v>15</v>
      </c>
      <c r="G9" s="48">
        <v>12</v>
      </c>
      <c r="H9" s="48">
        <v>80</v>
      </c>
      <c r="I9" s="48">
        <v>19</v>
      </c>
      <c r="J9" s="48">
        <v>16</v>
      </c>
      <c r="K9" s="48">
        <v>84.21</v>
      </c>
    </row>
    <row r="10" spans="1:11" x14ac:dyDescent="0.25">
      <c r="A10" s="51" t="s">
        <v>363</v>
      </c>
      <c r="B10" s="52">
        <v>2026</v>
      </c>
      <c r="C10" s="52">
        <v>2</v>
      </c>
      <c r="D10" s="52">
        <v>2</v>
      </c>
      <c r="E10" s="52">
        <v>100</v>
      </c>
      <c r="F10" s="52">
        <v>11</v>
      </c>
      <c r="G10" s="52">
        <v>8</v>
      </c>
      <c r="H10" s="52">
        <v>72.73</v>
      </c>
      <c r="I10" s="52">
        <v>13</v>
      </c>
      <c r="J10" s="52">
        <v>10</v>
      </c>
      <c r="K10" s="52">
        <v>76.92</v>
      </c>
    </row>
    <row r="11" spans="1:11" x14ac:dyDescent="0.25">
      <c r="A11" s="47" t="s">
        <v>363</v>
      </c>
      <c r="B11" s="48">
        <v>2025</v>
      </c>
      <c r="C11" s="48">
        <v>4</v>
      </c>
      <c r="D11" s="48">
        <v>4</v>
      </c>
      <c r="E11" s="48">
        <v>100</v>
      </c>
      <c r="F11" s="48">
        <v>15</v>
      </c>
      <c r="G11" s="48">
        <v>13</v>
      </c>
      <c r="H11" s="48">
        <v>86.67</v>
      </c>
      <c r="I11" s="48">
        <v>19</v>
      </c>
      <c r="J11" s="48">
        <v>17</v>
      </c>
      <c r="K11" s="48">
        <v>89.47</v>
      </c>
    </row>
    <row r="12" spans="1:11" x14ac:dyDescent="0.25">
      <c r="A12" s="51" t="s">
        <v>147</v>
      </c>
      <c r="B12" s="52">
        <v>2026</v>
      </c>
      <c r="C12" s="52">
        <v>168</v>
      </c>
      <c r="D12" s="52">
        <v>139</v>
      </c>
      <c r="E12" s="52">
        <v>82.74</v>
      </c>
      <c r="F12" s="52">
        <v>1125</v>
      </c>
      <c r="G12" s="52">
        <v>940</v>
      </c>
      <c r="H12" s="52">
        <v>83.56</v>
      </c>
      <c r="I12" s="52">
        <v>1293</v>
      </c>
      <c r="J12" s="52">
        <v>1079</v>
      </c>
      <c r="K12" s="52">
        <v>83.45</v>
      </c>
    </row>
    <row r="13" spans="1:11" x14ac:dyDescent="0.25">
      <c r="A13" s="47" t="s">
        <v>147</v>
      </c>
      <c r="B13" s="48">
        <v>2025</v>
      </c>
      <c r="C13" s="48">
        <v>177</v>
      </c>
      <c r="D13" s="48">
        <v>139</v>
      </c>
      <c r="E13" s="48">
        <v>78.53</v>
      </c>
      <c r="F13" s="48">
        <v>1499</v>
      </c>
      <c r="G13" s="48">
        <v>1121</v>
      </c>
      <c r="H13" s="48">
        <v>74.78</v>
      </c>
      <c r="I13" s="48">
        <v>1676</v>
      </c>
      <c r="J13" s="48">
        <v>1260</v>
      </c>
      <c r="K13" s="48">
        <v>75.180000000000007</v>
      </c>
    </row>
    <row r="14" spans="1:11" x14ac:dyDescent="0.25">
      <c r="A14" s="51" t="s">
        <v>468</v>
      </c>
      <c r="B14" s="52">
        <v>2026</v>
      </c>
      <c r="C14" s="52">
        <v>228</v>
      </c>
      <c r="D14" s="52">
        <v>215</v>
      </c>
      <c r="E14" s="52">
        <v>94.3</v>
      </c>
      <c r="F14" s="52">
        <v>25</v>
      </c>
      <c r="G14" s="52">
        <v>25</v>
      </c>
      <c r="H14" s="52">
        <v>100</v>
      </c>
      <c r="I14" s="52">
        <v>253</v>
      </c>
      <c r="J14" s="52">
        <v>240</v>
      </c>
      <c r="K14" s="52">
        <v>94.86</v>
      </c>
    </row>
    <row r="15" spans="1:11" x14ac:dyDescent="0.25">
      <c r="A15" s="47" t="s">
        <v>468</v>
      </c>
      <c r="B15" s="48">
        <v>2025</v>
      </c>
      <c r="C15" s="48">
        <v>187</v>
      </c>
      <c r="D15" s="48">
        <v>187</v>
      </c>
      <c r="E15" s="48">
        <v>100</v>
      </c>
      <c r="F15" s="48">
        <v>12</v>
      </c>
      <c r="G15" s="48">
        <v>12</v>
      </c>
      <c r="H15" s="48">
        <v>100</v>
      </c>
      <c r="I15" s="48">
        <v>199</v>
      </c>
      <c r="J15" s="48">
        <v>199</v>
      </c>
      <c r="K15" s="48">
        <v>100</v>
      </c>
    </row>
    <row r="16" spans="1:11" x14ac:dyDescent="0.25">
      <c r="A16" s="51" t="s">
        <v>469</v>
      </c>
      <c r="B16" s="52">
        <v>2026</v>
      </c>
      <c r="C16" s="52">
        <v>406</v>
      </c>
      <c r="D16" s="52">
        <v>376</v>
      </c>
      <c r="E16" s="52">
        <v>92.61</v>
      </c>
      <c r="F16" s="52">
        <v>144</v>
      </c>
      <c r="G16" s="52">
        <v>129</v>
      </c>
      <c r="H16" s="52">
        <v>89.58</v>
      </c>
      <c r="I16" s="52">
        <v>550</v>
      </c>
      <c r="J16" s="52">
        <v>505</v>
      </c>
      <c r="K16" s="52">
        <v>91.82</v>
      </c>
    </row>
    <row r="17" spans="1:11" x14ac:dyDescent="0.25">
      <c r="A17" s="47" t="s">
        <v>469</v>
      </c>
      <c r="B17" s="48">
        <v>2025</v>
      </c>
      <c r="C17" s="48">
        <v>535</v>
      </c>
      <c r="D17" s="48">
        <v>486</v>
      </c>
      <c r="E17" s="48">
        <v>90.84</v>
      </c>
      <c r="F17" s="48">
        <v>172</v>
      </c>
      <c r="G17" s="48">
        <v>149</v>
      </c>
      <c r="H17" s="48">
        <v>86.63</v>
      </c>
      <c r="I17" s="48">
        <v>707</v>
      </c>
      <c r="J17" s="48">
        <v>635</v>
      </c>
      <c r="K17" s="48">
        <v>89.82</v>
      </c>
    </row>
    <row r="18" spans="1:11" x14ac:dyDescent="0.25">
      <c r="A18" s="51" t="s">
        <v>470</v>
      </c>
      <c r="B18" s="52">
        <v>2026</v>
      </c>
      <c r="C18" s="52">
        <v>2</v>
      </c>
      <c r="D18" s="52">
        <v>1</v>
      </c>
      <c r="E18" s="52">
        <v>50</v>
      </c>
      <c r="F18" s="52">
        <v>28</v>
      </c>
      <c r="G18" s="52">
        <v>26</v>
      </c>
      <c r="H18" s="52">
        <v>92.86</v>
      </c>
      <c r="I18" s="52">
        <v>30</v>
      </c>
      <c r="J18" s="52">
        <v>27</v>
      </c>
      <c r="K18" s="52">
        <v>90</v>
      </c>
    </row>
    <row r="19" spans="1:11" x14ac:dyDescent="0.25">
      <c r="A19" s="47" t="s">
        <v>470</v>
      </c>
      <c r="B19" s="48">
        <v>2025</v>
      </c>
      <c r="C19" s="48">
        <v>0</v>
      </c>
      <c r="D19" s="48">
        <v>0</v>
      </c>
      <c r="E19" s="48">
        <v>0</v>
      </c>
      <c r="F19" s="48">
        <v>18</v>
      </c>
      <c r="G19" s="48">
        <v>15</v>
      </c>
      <c r="H19" s="48">
        <v>83.33</v>
      </c>
      <c r="I19" s="48">
        <v>18</v>
      </c>
      <c r="J19" s="48">
        <v>15</v>
      </c>
      <c r="K19" s="48">
        <v>83.33</v>
      </c>
    </row>
    <row r="20" spans="1:11" x14ac:dyDescent="0.25">
      <c r="A20" s="51" t="s">
        <v>151</v>
      </c>
      <c r="B20" s="52">
        <v>2026</v>
      </c>
      <c r="C20" s="52">
        <v>63450</v>
      </c>
      <c r="D20" s="52">
        <v>50463</v>
      </c>
      <c r="E20" s="52">
        <v>79.53</v>
      </c>
      <c r="F20" s="52">
        <v>32178</v>
      </c>
      <c r="G20" s="52">
        <v>20151</v>
      </c>
      <c r="H20" s="52">
        <v>62.62</v>
      </c>
      <c r="I20" s="52">
        <v>95628</v>
      </c>
      <c r="J20" s="52">
        <v>70614</v>
      </c>
      <c r="K20" s="52">
        <v>73.84</v>
      </c>
    </row>
    <row r="21" spans="1:11" x14ac:dyDescent="0.25">
      <c r="A21" s="47" t="s">
        <v>151</v>
      </c>
      <c r="B21" s="48">
        <v>2025</v>
      </c>
      <c r="C21" s="48">
        <v>71019</v>
      </c>
      <c r="D21" s="48">
        <v>53439</v>
      </c>
      <c r="E21" s="48">
        <v>75.25</v>
      </c>
      <c r="F21" s="48">
        <v>39199</v>
      </c>
      <c r="G21" s="48">
        <v>23741</v>
      </c>
      <c r="H21" s="48">
        <v>60.57</v>
      </c>
      <c r="I21" s="48">
        <v>110218</v>
      </c>
      <c r="J21" s="48">
        <v>77180</v>
      </c>
      <c r="K21" s="48">
        <v>70.02</v>
      </c>
    </row>
    <row r="22" spans="1:11" x14ac:dyDescent="0.25">
      <c r="A22" s="51" t="s">
        <v>325</v>
      </c>
      <c r="B22" s="52">
        <v>2026</v>
      </c>
      <c r="C22" s="52">
        <v>1590</v>
      </c>
      <c r="D22" s="52">
        <v>1126</v>
      </c>
      <c r="E22" s="52">
        <v>70.819999999999993</v>
      </c>
      <c r="F22" s="52">
        <v>0</v>
      </c>
      <c r="G22" s="52">
        <v>0</v>
      </c>
      <c r="H22" s="52">
        <v>0</v>
      </c>
      <c r="I22" s="52">
        <v>1590</v>
      </c>
      <c r="J22" s="52">
        <v>1126</v>
      </c>
      <c r="K22" s="52">
        <v>70.819999999999993</v>
      </c>
    </row>
    <row r="23" spans="1:11" x14ac:dyDescent="0.25">
      <c r="A23" s="51" t="s">
        <v>471</v>
      </c>
      <c r="B23" s="52">
        <v>2026</v>
      </c>
      <c r="C23" s="52">
        <v>20</v>
      </c>
      <c r="D23" s="52">
        <v>16</v>
      </c>
      <c r="E23" s="52">
        <v>80</v>
      </c>
      <c r="F23" s="52">
        <v>7</v>
      </c>
      <c r="G23" s="52">
        <v>1</v>
      </c>
      <c r="H23" s="52">
        <v>14.29</v>
      </c>
      <c r="I23" s="52">
        <v>27</v>
      </c>
      <c r="J23" s="52">
        <v>17</v>
      </c>
      <c r="K23" s="52">
        <v>62.96</v>
      </c>
    </row>
    <row r="24" spans="1:11" x14ac:dyDescent="0.25">
      <c r="A24" s="47" t="s">
        <v>471</v>
      </c>
      <c r="B24" s="48">
        <v>2025</v>
      </c>
      <c r="C24" s="48">
        <v>34</v>
      </c>
      <c r="D24" s="48">
        <v>15</v>
      </c>
      <c r="E24" s="48">
        <v>44.12</v>
      </c>
      <c r="F24" s="48">
        <v>12</v>
      </c>
      <c r="G24" s="48">
        <v>9</v>
      </c>
      <c r="H24" s="48">
        <v>75</v>
      </c>
      <c r="I24" s="48">
        <v>46</v>
      </c>
      <c r="J24" s="48">
        <v>24</v>
      </c>
      <c r="K24" s="48">
        <v>52.17</v>
      </c>
    </row>
    <row r="25" spans="1:11" x14ac:dyDescent="0.25">
      <c r="A25" s="51" t="s">
        <v>153</v>
      </c>
      <c r="B25" s="52">
        <v>2026</v>
      </c>
      <c r="C25" s="52">
        <v>135956</v>
      </c>
      <c r="D25" s="52">
        <v>103160</v>
      </c>
      <c r="E25" s="52">
        <v>75.88</v>
      </c>
      <c r="F25" s="52">
        <v>67284</v>
      </c>
      <c r="G25" s="52">
        <v>40908</v>
      </c>
      <c r="H25" s="52">
        <v>60.8</v>
      </c>
      <c r="I25" s="52">
        <v>203240</v>
      </c>
      <c r="J25" s="52">
        <v>144068</v>
      </c>
      <c r="K25" s="52">
        <v>70.89</v>
      </c>
    </row>
    <row r="26" spans="1:11" x14ac:dyDescent="0.25">
      <c r="A26" s="47" t="s">
        <v>153</v>
      </c>
      <c r="B26" s="48">
        <v>2025</v>
      </c>
      <c r="C26" s="48">
        <v>153368</v>
      </c>
      <c r="D26" s="48">
        <v>102306</v>
      </c>
      <c r="E26" s="48">
        <v>66.709999999999994</v>
      </c>
      <c r="F26" s="48">
        <v>80981</v>
      </c>
      <c r="G26" s="48">
        <v>40476</v>
      </c>
      <c r="H26" s="48">
        <v>49.98</v>
      </c>
      <c r="I26" s="48">
        <v>234349</v>
      </c>
      <c r="J26" s="48">
        <v>142782</v>
      </c>
      <c r="K26" s="48">
        <v>60.93</v>
      </c>
    </row>
    <row r="27" spans="1:11" x14ac:dyDescent="0.25">
      <c r="A27" s="51" t="s">
        <v>326</v>
      </c>
      <c r="B27" s="52">
        <v>2026</v>
      </c>
      <c r="C27" s="52">
        <v>4865</v>
      </c>
      <c r="D27" s="52">
        <v>4072</v>
      </c>
      <c r="E27" s="52">
        <v>83.7</v>
      </c>
      <c r="F27" s="52">
        <v>0</v>
      </c>
      <c r="G27" s="52">
        <v>0</v>
      </c>
      <c r="H27" s="52">
        <v>0</v>
      </c>
      <c r="I27" s="52">
        <v>4865</v>
      </c>
      <c r="J27" s="52">
        <v>4072</v>
      </c>
      <c r="K27" s="52">
        <v>83.7</v>
      </c>
    </row>
    <row r="28" spans="1:11" x14ac:dyDescent="0.25">
      <c r="A28" s="51" t="s">
        <v>155</v>
      </c>
      <c r="B28" s="52">
        <v>2026</v>
      </c>
      <c r="C28" s="52">
        <v>1770</v>
      </c>
      <c r="D28" s="52">
        <v>1287</v>
      </c>
      <c r="E28" s="52">
        <v>72.709999999999994</v>
      </c>
      <c r="F28" s="52">
        <v>3546</v>
      </c>
      <c r="G28" s="52">
        <v>2458</v>
      </c>
      <c r="H28" s="52">
        <v>69.319999999999993</v>
      </c>
      <c r="I28" s="52">
        <v>5316</v>
      </c>
      <c r="J28" s="52">
        <v>3745</v>
      </c>
      <c r="K28" s="52">
        <v>70.45</v>
      </c>
    </row>
    <row r="29" spans="1:11" x14ac:dyDescent="0.25">
      <c r="A29" s="47" t="s">
        <v>155</v>
      </c>
      <c r="B29" s="48">
        <v>2025</v>
      </c>
      <c r="C29" s="48">
        <v>1460</v>
      </c>
      <c r="D29" s="48">
        <v>943</v>
      </c>
      <c r="E29" s="48">
        <v>64.59</v>
      </c>
      <c r="F29" s="48">
        <v>3350</v>
      </c>
      <c r="G29" s="48">
        <v>1916</v>
      </c>
      <c r="H29" s="48">
        <v>57.19</v>
      </c>
      <c r="I29" s="48">
        <v>4810</v>
      </c>
      <c r="J29" s="48">
        <v>2859</v>
      </c>
      <c r="K29" s="48">
        <v>59.44</v>
      </c>
    </row>
    <row r="30" spans="1:11" x14ac:dyDescent="0.25">
      <c r="A30" s="51" t="s">
        <v>327</v>
      </c>
      <c r="B30" s="52">
        <v>2026</v>
      </c>
      <c r="C30" s="52">
        <v>41</v>
      </c>
      <c r="D30" s="52">
        <v>31</v>
      </c>
      <c r="E30" s="52">
        <v>75.61</v>
      </c>
      <c r="F30" s="52">
        <v>14</v>
      </c>
      <c r="G30" s="52">
        <v>11</v>
      </c>
      <c r="H30" s="52">
        <v>78.569999999999993</v>
      </c>
      <c r="I30" s="52">
        <v>55</v>
      </c>
      <c r="J30" s="52">
        <v>42</v>
      </c>
      <c r="K30" s="52">
        <v>76.36</v>
      </c>
    </row>
    <row r="31" spans="1:11" x14ac:dyDescent="0.25">
      <c r="A31" s="47" t="s">
        <v>327</v>
      </c>
      <c r="B31" s="48">
        <v>2025</v>
      </c>
      <c r="C31" s="48">
        <v>29</v>
      </c>
      <c r="D31" s="48">
        <v>26</v>
      </c>
      <c r="E31" s="48">
        <v>89.66</v>
      </c>
      <c r="F31" s="48">
        <v>6</v>
      </c>
      <c r="G31" s="48">
        <v>3</v>
      </c>
      <c r="H31" s="48">
        <v>50</v>
      </c>
      <c r="I31" s="48">
        <v>35</v>
      </c>
      <c r="J31" s="48">
        <v>29</v>
      </c>
      <c r="K31" s="48">
        <v>82.86</v>
      </c>
    </row>
    <row r="32" spans="1:11" x14ac:dyDescent="0.25">
      <c r="A32" s="47" t="s">
        <v>472</v>
      </c>
      <c r="B32" s="48">
        <v>2025</v>
      </c>
      <c r="C32" s="48">
        <v>0</v>
      </c>
      <c r="D32" s="48">
        <v>0</v>
      </c>
      <c r="E32" s="48">
        <v>0</v>
      </c>
      <c r="F32" s="48">
        <v>2</v>
      </c>
      <c r="G32" s="48">
        <v>1</v>
      </c>
      <c r="H32" s="48">
        <v>50</v>
      </c>
      <c r="I32" s="48">
        <v>2</v>
      </c>
      <c r="J32" s="48">
        <v>1</v>
      </c>
      <c r="K32" s="48">
        <v>50</v>
      </c>
    </row>
    <row r="33" spans="1:11" x14ac:dyDescent="0.25">
      <c r="A33" s="51" t="s">
        <v>328</v>
      </c>
      <c r="B33" s="52">
        <v>2026</v>
      </c>
      <c r="C33" s="52">
        <v>1186</v>
      </c>
      <c r="D33" s="52">
        <v>1068</v>
      </c>
      <c r="E33" s="52">
        <v>90.05</v>
      </c>
      <c r="F33" s="52">
        <v>0</v>
      </c>
      <c r="G33" s="52">
        <v>0</v>
      </c>
      <c r="H33" s="52">
        <v>0</v>
      </c>
      <c r="I33" s="52">
        <v>1186</v>
      </c>
      <c r="J33" s="52">
        <v>1068</v>
      </c>
      <c r="K33" s="52">
        <v>90.05</v>
      </c>
    </row>
    <row r="34" spans="1:11" x14ac:dyDescent="0.25">
      <c r="A34" s="51" t="s">
        <v>329</v>
      </c>
      <c r="B34" s="52">
        <v>2026</v>
      </c>
      <c r="C34" s="52">
        <v>359</v>
      </c>
      <c r="D34" s="52">
        <v>237</v>
      </c>
      <c r="E34" s="52">
        <v>66.02</v>
      </c>
      <c r="F34" s="52">
        <v>44</v>
      </c>
      <c r="G34" s="52">
        <v>15</v>
      </c>
      <c r="H34" s="52">
        <v>34.090000000000003</v>
      </c>
      <c r="I34" s="52">
        <v>403</v>
      </c>
      <c r="J34" s="52">
        <v>252</v>
      </c>
      <c r="K34" s="52">
        <v>62.53</v>
      </c>
    </row>
    <row r="35" spans="1:11" x14ac:dyDescent="0.25">
      <c r="A35" s="47" t="s">
        <v>329</v>
      </c>
      <c r="B35" s="48">
        <v>2025</v>
      </c>
      <c r="C35" s="48">
        <v>101</v>
      </c>
      <c r="D35" s="48">
        <v>82</v>
      </c>
      <c r="E35" s="48">
        <v>81.19</v>
      </c>
      <c r="F35" s="48">
        <v>11</v>
      </c>
      <c r="G35" s="48">
        <v>10</v>
      </c>
      <c r="H35" s="48">
        <v>90.91</v>
      </c>
      <c r="I35" s="48">
        <v>112</v>
      </c>
      <c r="J35" s="48">
        <v>92</v>
      </c>
      <c r="K35" s="48">
        <v>82.14</v>
      </c>
    </row>
    <row r="36" spans="1:11" x14ac:dyDescent="0.25">
      <c r="A36" s="51" t="s">
        <v>157</v>
      </c>
      <c r="B36" s="52">
        <v>2026</v>
      </c>
      <c r="C36" s="52">
        <v>4677</v>
      </c>
      <c r="D36" s="52">
        <v>3349</v>
      </c>
      <c r="E36" s="52">
        <v>71.61</v>
      </c>
      <c r="F36" s="52">
        <v>24</v>
      </c>
      <c r="G36" s="52">
        <v>24</v>
      </c>
      <c r="H36" s="52">
        <v>100</v>
      </c>
      <c r="I36" s="52">
        <v>4701</v>
      </c>
      <c r="J36" s="52">
        <v>3373</v>
      </c>
      <c r="K36" s="52">
        <v>71.75</v>
      </c>
    </row>
    <row r="37" spans="1:11" x14ac:dyDescent="0.25">
      <c r="A37" s="47" t="s">
        <v>157</v>
      </c>
      <c r="B37" s="48">
        <v>2025</v>
      </c>
      <c r="C37" s="48">
        <v>90916</v>
      </c>
      <c r="D37" s="48">
        <v>73362</v>
      </c>
      <c r="E37" s="48">
        <v>80.69</v>
      </c>
      <c r="F37" s="48">
        <v>48073</v>
      </c>
      <c r="G37" s="48">
        <v>33718</v>
      </c>
      <c r="H37" s="48">
        <v>70.14</v>
      </c>
      <c r="I37" s="48">
        <v>138989</v>
      </c>
      <c r="J37" s="48">
        <v>107080</v>
      </c>
      <c r="K37" s="48">
        <v>77.040000000000006</v>
      </c>
    </row>
    <row r="38" spans="1:11" x14ac:dyDescent="0.25">
      <c r="A38" s="51" t="s">
        <v>330</v>
      </c>
      <c r="B38" s="52">
        <v>2026</v>
      </c>
      <c r="C38" s="52">
        <v>77998</v>
      </c>
      <c r="D38" s="52">
        <v>57627</v>
      </c>
      <c r="E38" s="52">
        <v>73.88</v>
      </c>
      <c r="F38" s="52">
        <v>39046</v>
      </c>
      <c r="G38" s="52">
        <v>23399</v>
      </c>
      <c r="H38" s="52">
        <v>59.93</v>
      </c>
      <c r="I38" s="52">
        <v>117044</v>
      </c>
      <c r="J38" s="52">
        <v>81026</v>
      </c>
      <c r="K38" s="52">
        <v>69.23</v>
      </c>
    </row>
    <row r="39" spans="1:11" x14ac:dyDescent="0.25">
      <c r="A39" s="51" t="s">
        <v>333</v>
      </c>
      <c r="B39" s="52">
        <v>2026</v>
      </c>
      <c r="C39" s="52">
        <v>228</v>
      </c>
      <c r="D39" s="52">
        <v>209</v>
      </c>
      <c r="E39" s="52">
        <v>91.67</v>
      </c>
      <c r="F39" s="52">
        <v>25</v>
      </c>
      <c r="G39" s="52">
        <v>24</v>
      </c>
      <c r="H39" s="52">
        <v>96</v>
      </c>
      <c r="I39" s="52">
        <v>253</v>
      </c>
      <c r="J39" s="52">
        <v>233</v>
      </c>
      <c r="K39" s="52">
        <v>92.09</v>
      </c>
    </row>
    <row r="40" spans="1:11" x14ac:dyDescent="0.25">
      <c r="A40" s="47" t="s">
        <v>333</v>
      </c>
      <c r="B40" s="48">
        <v>2025</v>
      </c>
      <c r="C40" s="48">
        <v>189</v>
      </c>
      <c r="D40" s="48">
        <v>189</v>
      </c>
      <c r="E40" s="48">
        <v>100</v>
      </c>
      <c r="F40" s="48">
        <v>12</v>
      </c>
      <c r="G40" s="48">
        <v>12</v>
      </c>
      <c r="H40" s="48">
        <v>100</v>
      </c>
      <c r="I40" s="48">
        <v>201</v>
      </c>
      <c r="J40" s="48">
        <v>201</v>
      </c>
      <c r="K40" s="48">
        <v>100</v>
      </c>
    </row>
    <row r="41" spans="1:11" x14ac:dyDescent="0.25">
      <c r="A41" s="51" t="s">
        <v>334</v>
      </c>
      <c r="B41" s="52">
        <v>2026</v>
      </c>
      <c r="C41" s="52">
        <v>3</v>
      </c>
      <c r="D41" s="52">
        <v>2</v>
      </c>
      <c r="E41" s="52">
        <v>66.67</v>
      </c>
      <c r="F41" s="52">
        <v>93</v>
      </c>
      <c r="G41" s="52">
        <v>79</v>
      </c>
      <c r="H41" s="52">
        <v>84.95</v>
      </c>
      <c r="I41" s="52">
        <v>96</v>
      </c>
      <c r="J41" s="52">
        <v>81</v>
      </c>
      <c r="K41" s="52">
        <v>84.38</v>
      </c>
    </row>
    <row r="42" spans="1:11" x14ac:dyDescent="0.25">
      <c r="A42" s="47" t="s">
        <v>334</v>
      </c>
      <c r="B42" s="48">
        <v>2025</v>
      </c>
      <c r="C42" s="48">
        <v>0</v>
      </c>
      <c r="D42" s="48">
        <v>0</v>
      </c>
      <c r="E42" s="48">
        <v>0</v>
      </c>
      <c r="F42" s="48">
        <v>3</v>
      </c>
      <c r="G42" s="48">
        <v>3</v>
      </c>
      <c r="H42" s="48">
        <v>100</v>
      </c>
      <c r="I42" s="48">
        <v>3</v>
      </c>
      <c r="J42" s="48">
        <v>3</v>
      </c>
      <c r="K42" s="48">
        <v>100</v>
      </c>
    </row>
    <row r="43" spans="1:11" x14ac:dyDescent="0.25">
      <c r="A43" s="51" t="s">
        <v>161</v>
      </c>
      <c r="B43" s="52">
        <v>2026</v>
      </c>
      <c r="C43" s="52">
        <v>246</v>
      </c>
      <c r="D43" s="52">
        <v>208</v>
      </c>
      <c r="E43" s="52">
        <v>84.55</v>
      </c>
      <c r="F43" s="52">
        <v>413</v>
      </c>
      <c r="G43" s="52">
        <v>310</v>
      </c>
      <c r="H43" s="52">
        <v>75.06</v>
      </c>
      <c r="I43" s="52">
        <v>659</v>
      </c>
      <c r="J43" s="52">
        <v>518</v>
      </c>
      <c r="K43" s="52">
        <v>78.599999999999994</v>
      </c>
    </row>
    <row r="44" spans="1:11" x14ac:dyDescent="0.25">
      <c r="A44" s="47" t="s">
        <v>161</v>
      </c>
      <c r="B44" s="48">
        <v>2025</v>
      </c>
      <c r="C44" s="48">
        <v>201</v>
      </c>
      <c r="D44" s="48">
        <v>173</v>
      </c>
      <c r="E44" s="48">
        <v>86.07</v>
      </c>
      <c r="F44" s="48">
        <v>402</v>
      </c>
      <c r="G44" s="48">
        <v>264</v>
      </c>
      <c r="H44" s="48">
        <v>65.67</v>
      </c>
      <c r="I44" s="48">
        <v>603</v>
      </c>
      <c r="J44" s="48">
        <v>437</v>
      </c>
      <c r="K44" s="48">
        <v>72.47</v>
      </c>
    </row>
    <row r="45" spans="1:11" x14ac:dyDescent="0.25">
      <c r="A45" s="51" t="s">
        <v>335</v>
      </c>
      <c r="B45" s="52">
        <v>2026</v>
      </c>
      <c r="C45" s="52">
        <v>16828</v>
      </c>
      <c r="D45" s="52">
        <v>14798</v>
      </c>
      <c r="E45" s="52">
        <v>87.94</v>
      </c>
      <c r="F45" s="52">
        <v>18908</v>
      </c>
      <c r="G45" s="52">
        <v>15079</v>
      </c>
      <c r="H45" s="52">
        <v>79.75</v>
      </c>
      <c r="I45" s="52">
        <v>35736</v>
      </c>
      <c r="J45" s="52">
        <v>29877</v>
      </c>
      <c r="K45" s="52">
        <v>83.6</v>
      </c>
    </row>
    <row r="46" spans="1:11" x14ac:dyDescent="0.25">
      <c r="A46" s="47" t="s">
        <v>335</v>
      </c>
      <c r="B46" s="48">
        <v>2025</v>
      </c>
      <c r="C46" s="48">
        <v>15519</v>
      </c>
      <c r="D46" s="48">
        <v>13446</v>
      </c>
      <c r="E46" s="48">
        <v>86.64</v>
      </c>
      <c r="F46" s="48">
        <v>17952</v>
      </c>
      <c r="G46" s="48">
        <v>14162</v>
      </c>
      <c r="H46" s="48">
        <v>78.89</v>
      </c>
      <c r="I46" s="48">
        <v>33471</v>
      </c>
      <c r="J46" s="48">
        <v>27608</v>
      </c>
      <c r="K46" s="48">
        <v>82.48</v>
      </c>
    </row>
    <row r="47" spans="1:11" x14ac:dyDescent="0.25">
      <c r="A47" s="51" t="s">
        <v>473</v>
      </c>
      <c r="B47" s="52">
        <v>2026</v>
      </c>
      <c r="C47" s="52">
        <v>77</v>
      </c>
      <c r="D47" s="52">
        <v>64</v>
      </c>
      <c r="E47" s="52">
        <v>83.12</v>
      </c>
      <c r="F47" s="52">
        <v>18</v>
      </c>
      <c r="G47" s="52">
        <v>11</v>
      </c>
      <c r="H47" s="52">
        <v>61.11</v>
      </c>
      <c r="I47" s="52">
        <v>95</v>
      </c>
      <c r="J47" s="52">
        <v>75</v>
      </c>
      <c r="K47" s="52">
        <v>78.95</v>
      </c>
    </row>
    <row r="48" spans="1:11" x14ac:dyDescent="0.25">
      <c r="A48" s="47" t="s">
        <v>473</v>
      </c>
      <c r="B48" s="48">
        <v>2025</v>
      </c>
      <c r="C48" s="48">
        <v>47</v>
      </c>
      <c r="D48" s="48">
        <v>33</v>
      </c>
      <c r="E48" s="48">
        <v>70.209999999999994</v>
      </c>
      <c r="F48" s="48">
        <v>16</v>
      </c>
      <c r="G48" s="48">
        <v>8</v>
      </c>
      <c r="H48" s="48">
        <v>50</v>
      </c>
      <c r="I48" s="48">
        <v>63</v>
      </c>
      <c r="J48" s="48">
        <v>41</v>
      </c>
      <c r="K48" s="48">
        <v>65.08</v>
      </c>
    </row>
    <row r="49" spans="1:11" x14ac:dyDescent="0.25">
      <c r="A49" s="51" t="s">
        <v>337</v>
      </c>
      <c r="B49" s="52">
        <v>2026</v>
      </c>
      <c r="C49" s="52">
        <v>6300</v>
      </c>
      <c r="D49" s="52">
        <v>5433</v>
      </c>
      <c r="E49" s="52">
        <v>86.24</v>
      </c>
      <c r="F49" s="52">
        <v>2098</v>
      </c>
      <c r="G49" s="52">
        <v>1723</v>
      </c>
      <c r="H49" s="52">
        <v>82.13</v>
      </c>
      <c r="I49" s="52">
        <v>8398</v>
      </c>
      <c r="J49" s="52">
        <v>7156</v>
      </c>
      <c r="K49" s="52">
        <v>85.21</v>
      </c>
    </row>
    <row r="50" spans="1:11" x14ac:dyDescent="0.25">
      <c r="A50" s="47" t="s">
        <v>337</v>
      </c>
      <c r="B50" s="48">
        <v>2025</v>
      </c>
      <c r="C50" s="48">
        <v>6081</v>
      </c>
      <c r="D50" s="48">
        <v>4684</v>
      </c>
      <c r="E50" s="48">
        <v>77.03</v>
      </c>
      <c r="F50" s="48">
        <v>2649</v>
      </c>
      <c r="G50" s="48">
        <v>1844</v>
      </c>
      <c r="H50" s="48">
        <v>69.61</v>
      </c>
      <c r="I50" s="48">
        <v>8730</v>
      </c>
      <c r="J50" s="48">
        <v>6528</v>
      </c>
      <c r="K50" s="48">
        <v>74.78</v>
      </c>
    </row>
    <row r="51" spans="1:11" x14ac:dyDescent="0.25">
      <c r="A51" s="51" t="s">
        <v>474</v>
      </c>
      <c r="B51" s="52">
        <v>2026</v>
      </c>
      <c r="C51" s="52">
        <v>180285</v>
      </c>
      <c r="D51" s="52">
        <v>151046</v>
      </c>
      <c r="E51" s="52">
        <v>83.78</v>
      </c>
      <c r="F51" s="52">
        <v>100170</v>
      </c>
      <c r="G51" s="52">
        <v>74773</v>
      </c>
      <c r="H51" s="52">
        <v>74.650000000000006</v>
      </c>
      <c r="I51" s="52">
        <v>280455</v>
      </c>
      <c r="J51" s="52">
        <v>225819</v>
      </c>
      <c r="K51" s="52">
        <v>80.52</v>
      </c>
    </row>
    <row r="52" spans="1:11" x14ac:dyDescent="0.25">
      <c r="A52" s="47" t="s">
        <v>474</v>
      </c>
      <c r="B52" s="48">
        <v>2025</v>
      </c>
      <c r="C52" s="48">
        <v>191865</v>
      </c>
      <c r="D52" s="48">
        <v>166798</v>
      </c>
      <c r="E52" s="48">
        <v>86.94</v>
      </c>
      <c r="F52" s="48">
        <v>115811</v>
      </c>
      <c r="G52" s="48">
        <v>92207</v>
      </c>
      <c r="H52" s="48">
        <v>79.62</v>
      </c>
      <c r="I52" s="48">
        <v>307676</v>
      </c>
      <c r="J52" s="48">
        <v>259005</v>
      </c>
      <c r="K52" s="48">
        <v>84.18</v>
      </c>
    </row>
    <row r="53" spans="1:11" x14ac:dyDescent="0.25">
      <c r="A53" s="51" t="s">
        <v>475</v>
      </c>
      <c r="B53" s="52">
        <v>2026</v>
      </c>
      <c r="C53" s="52">
        <v>0</v>
      </c>
      <c r="D53" s="52">
        <v>0</v>
      </c>
      <c r="E53" s="52">
        <v>0</v>
      </c>
      <c r="F53" s="52">
        <v>1</v>
      </c>
      <c r="G53" s="52">
        <v>0</v>
      </c>
      <c r="H53" s="52">
        <v>0</v>
      </c>
      <c r="I53" s="52">
        <v>1</v>
      </c>
      <c r="J53" s="52">
        <v>0</v>
      </c>
      <c r="K53" s="52">
        <v>0</v>
      </c>
    </row>
    <row r="54" spans="1:11" x14ac:dyDescent="0.25">
      <c r="A54" s="47" t="s">
        <v>475</v>
      </c>
      <c r="B54" s="48">
        <v>2025</v>
      </c>
      <c r="C54" s="48">
        <v>0</v>
      </c>
      <c r="D54" s="48">
        <v>0</v>
      </c>
      <c r="E54" s="48">
        <v>0</v>
      </c>
      <c r="F54" s="48">
        <v>2</v>
      </c>
      <c r="G54" s="48">
        <v>1</v>
      </c>
      <c r="H54" s="48">
        <v>50</v>
      </c>
      <c r="I54" s="48">
        <v>2</v>
      </c>
      <c r="J54" s="48">
        <v>1</v>
      </c>
      <c r="K54" s="48">
        <v>50</v>
      </c>
    </row>
    <row r="55" spans="1:11" x14ac:dyDescent="0.25">
      <c r="A55" s="51" t="s">
        <v>341</v>
      </c>
      <c r="B55" s="52">
        <v>2026</v>
      </c>
      <c r="C55" s="52">
        <v>0</v>
      </c>
      <c r="D55" s="52">
        <v>0</v>
      </c>
      <c r="E55" s="52">
        <v>0</v>
      </c>
      <c r="F55" s="52">
        <v>5</v>
      </c>
      <c r="G55" s="52">
        <v>0</v>
      </c>
      <c r="H55" s="52">
        <v>0</v>
      </c>
      <c r="I55" s="52">
        <v>5</v>
      </c>
      <c r="J55" s="52">
        <v>0</v>
      </c>
      <c r="K55" s="52">
        <v>0</v>
      </c>
    </row>
    <row r="56" spans="1:11" x14ac:dyDescent="0.25">
      <c r="A56" s="47" t="s">
        <v>341</v>
      </c>
      <c r="B56" s="48">
        <v>2025</v>
      </c>
      <c r="C56" s="48">
        <v>4</v>
      </c>
      <c r="D56" s="48">
        <v>4</v>
      </c>
      <c r="E56" s="48">
        <v>100</v>
      </c>
      <c r="F56" s="48">
        <v>6</v>
      </c>
      <c r="G56" s="48">
        <v>4</v>
      </c>
      <c r="H56" s="48">
        <v>66.67</v>
      </c>
      <c r="I56" s="48">
        <v>10</v>
      </c>
      <c r="J56" s="48">
        <v>8</v>
      </c>
      <c r="K56" s="48">
        <v>80</v>
      </c>
    </row>
    <row r="57" spans="1:11" x14ac:dyDescent="0.25">
      <c r="A57" s="51" t="s">
        <v>419</v>
      </c>
      <c r="B57" s="52">
        <v>2026</v>
      </c>
      <c r="C57" s="52">
        <v>4626</v>
      </c>
      <c r="D57" s="52">
        <v>3866</v>
      </c>
      <c r="E57" s="52">
        <v>83.57</v>
      </c>
      <c r="F57" s="52">
        <v>3588</v>
      </c>
      <c r="G57" s="52">
        <v>2686</v>
      </c>
      <c r="H57" s="52">
        <v>74.86</v>
      </c>
      <c r="I57" s="52">
        <v>8214</v>
      </c>
      <c r="J57" s="52">
        <v>6552</v>
      </c>
      <c r="K57" s="52">
        <v>79.77</v>
      </c>
    </row>
    <row r="58" spans="1:11" x14ac:dyDescent="0.25">
      <c r="A58" s="47" t="s">
        <v>419</v>
      </c>
      <c r="B58" s="48">
        <v>2025</v>
      </c>
      <c r="C58" s="48">
        <v>4904</v>
      </c>
      <c r="D58" s="48">
        <v>4218</v>
      </c>
      <c r="E58" s="48">
        <v>86.01</v>
      </c>
      <c r="F58" s="48">
        <v>4713</v>
      </c>
      <c r="G58" s="48">
        <v>3646</v>
      </c>
      <c r="H58" s="48">
        <v>77.36</v>
      </c>
      <c r="I58" s="48">
        <v>9617</v>
      </c>
      <c r="J58" s="48">
        <v>7864</v>
      </c>
      <c r="K58" s="48">
        <v>81.77</v>
      </c>
    </row>
    <row r="59" spans="1:11" x14ac:dyDescent="0.25">
      <c r="A59" s="51" t="s">
        <v>316</v>
      </c>
      <c r="B59" s="52">
        <v>2026</v>
      </c>
      <c r="C59" s="52">
        <v>1191</v>
      </c>
      <c r="D59" s="52">
        <v>958</v>
      </c>
      <c r="E59" s="52">
        <v>80.44</v>
      </c>
      <c r="F59" s="52">
        <v>0</v>
      </c>
      <c r="G59" s="52">
        <v>0</v>
      </c>
      <c r="H59" s="52">
        <v>0</v>
      </c>
      <c r="I59" s="52">
        <v>1191</v>
      </c>
      <c r="J59" s="52">
        <v>958</v>
      </c>
      <c r="K59" s="52">
        <v>80.44</v>
      </c>
    </row>
    <row r="60" spans="1:11" x14ac:dyDescent="0.25">
      <c r="A60" s="51" t="s">
        <v>476</v>
      </c>
      <c r="B60" s="52">
        <v>2026</v>
      </c>
      <c r="C60" s="52">
        <v>1175</v>
      </c>
      <c r="D60" s="52">
        <v>1171</v>
      </c>
      <c r="E60" s="52">
        <v>99.66</v>
      </c>
      <c r="F60" s="52">
        <v>0</v>
      </c>
      <c r="G60" s="52">
        <v>0</v>
      </c>
      <c r="H60" s="52">
        <v>0</v>
      </c>
      <c r="I60" s="52">
        <v>1175</v>
      </c>
      <c r="J60" s="52">
        <v>1171</v>
      </c>
      <c r="K60" s="52">
        <v>99.66</v>
      </c>
    </row>
    <row r="61" spans="1:11" x14ac:dyDescent="0.25">
      <c r="A61" s="51" t="s">
        <v>477</v>
      </c>
      <c r="B61" s="52">
        <v>2026</v>
      </c>
      <c r="C61" s="52">
        <v>0</v>
      </c>
      <c r="D61" s="52">
        <v>0</v>
      </c>
      <c r="E61" s="52">
        <v>0</v>
      </c>
      <c r="F61" s="52">
        <v>3</v>
      </c>
      <c r="G61" s="52">
        <v>3</v>
      </c>
      <c r="H61" s="52">
        <v>100</v>
      </c>
      <c r="I61" s="52">
        <v>3</v>
      </c>
      <c r="J61" s="52">
        <v>3</v>
      </c>
      <c r="K61" s="52">
        <v>100</v>
      </c>
    </row>
    <row r="62" spans="1:11" x14ac:dyDescent="0.25">
      <c r="A62" s="47" t="s">
        <v>477</v>
      </c>
      <c r="B62" s="48">
        <v>2025</v>
      </c>
      <c r="C62" s="48">
        <v>1</v>
      </c>
      <c r="D62" s="48">
        <v>1</v>
      </c>
      <c r="E62" s="48">
        <v>100</v>
      </c>
      <c r="F62" s="48">
        <v>2</v>
      </c>
      <c r="G62" s="48">
        <v>2</v>
      </c>
      <c r="H62" s="48">
        <v>100</v>
      </c>
      <c r="I62" s="48">
        <v>3</v>
      </c>
      <c r="J62" s="48">
        <v>3</v>
      </c>
      <c r="K62" s="48">
        <v>100</v>
      </c>
    </row>
    <row r="63" spans="1:11" x14ac:dyDescent="0.25">
      <c r="A63" s="51" t="s">
        <v>478</v>
      </c>
      <c r="B63" s="52">
        <v>2026</v>
      </c>
      <c r="C63" s="52">
        <v>1802</v>
      </c>
      <c r="D63" s="52">
        <v>1656</v>
      </c>
      <c r="E63" s="52">
        <v>91.9</v>
      </c>
      <c r="F63" s="52">
        <v>359</v>
      </c>
      <c r="G63" s="52">
        <v>308</v>
      </c>
      <c r="H63" s="52">
        <v>85.79</v>
      </c>
      <c r="I63" s="52">
        <v>2161</v>
      </c>
      <c r="J63" s="52">
        <v>1964</v>
      </c>
      <c r="K63" s="52">
        <v>90.88</v>
      </c>
    </row>
    <row r="64" spans="1:11" x14ac:dyDescent="0.25">
      <c r="A64" s="47" t="s">
        <v>478</v>
      </c>
      <c r="B64" s="48">
        <v>2025</v>
      </c>
      <c r="C64" s="48">
        <v>1301</v>
      </c>
      <c r="D64" s="48">
        <v>1218</v>
      </c>
      <c r="E64" s="48">
        <v>93.62</v>
      </c>
      <c r="F64" s="48">
        <v>339</v>
      </c>
      <c r="G64" s="48">
        <v>304</v>
      </c>
      <c r="H64" s="48">
        <v>89.68</v>
      </c>
      <c r="I64" s="48">
        <v>1640</v>
      </c>
      <c r="J64" s="48">
        <v>1522</v>
      </c>
      <c r="K64" s="48">
        <v>92.8</v>
      </c>
    </row>
    <row r="65" spans="1:11" x14ac:dyDescent="0.25">
      <c r="A65" s="47" t="s">
        <v>343</v>
      </c>
      <c r="B65" s="48">
        <v>2025</v>
      </c>
      <c r="C65" s="48">
        <v>38037</v>
      </c>
      <c r="D65" s="48">
        <v>24099</v>
      </c>
      <c r="E65" s="48">
        <v>63.36</v>
      </c>
      <c r="F65" s="48">
        <v>34156</v>
      </c>
      <c r="G65" s="48">
        <v>19248</v>
      </c>
      <c r="H65" s="48">
        <v>56.35</v>
      </c>
      <c r="I65" s="48">
        <v>72193</v>
      </c>
      <c r="J65" s="48">
        <v>43347</v>
      </c>
      <c r="K65" s="48">
        <v>60.04</v>
      </c>
    </row>
    <row r="66" spans="1:11" x14ac:dyDescent="0.25">
      <c r="A66" s="51" t="s">
        <v>169</v>
      </c>
      <c r="B66" s="52">
        <v>2026</v>
      </c>
      <c r="C66" s="52">
        <v>37921</v>
      </c>
      <c r="D66" s="52">
        <v>23368</v>
      </c>
      <c r="E66" s="52">
        <v>61.62</v>
      </c>
      <c r="F66" s="52">
        <v>32483</v>
      </c>
      <c r="G66" s="52">
        <v>17072</v>
      </c>
      <c r="H66" s="52">
        <v>52.56</v>
      </c>
      <c r="I66" s="52">
        <v>70404</v>
      </c>
      <c r="J66" s="52">
        <v>40440</v>
      </c>
      <c r="K66" s="52">
        <v>57.44</v>
      </c>
    </row>
    <row r="67" spans="1:11" x14ac:dyDescent="0.25">
      <c r="A67" s="47" t="s">
        <v>169</v>
      </c>
      <c r="B67" s="48">
        <v>2025</v>
      </c>
      <c r="C67" s="48">
        <v>38087</v>
      </c>
      <c r="D67" s="48">
        <v>24702</v>
      </c>
      <c r="E67" s="48">
        <v>64.86</v>
      </c>
      <c r="F67" s="48">
        <v>34264</v>
      </c>
      <c r="G67" s="48">
        <v>18762</v>
      </c>
      <c r="H67" s="48">
        <v>54.76</v>
      </c>
      <c r="I67" s="48">
        <v>72351</v>
      </c>
      <c r="J67" s="48">
        <v>43464</v>
      </c>
      <c r="K67" s="48">
        <v>60.07</v>
      </c>
    </row>
    <row r="68" spans="1:11" x14ac:dyDescent="0.25">
      <c r="A68" s="51" t="s">
        <v>479</v>
      </c>
      <c r="B68" s="52">
        <v>2026</v>
      </c>
      <c r="C68" s="52">
        <v>1189</v>
      </c>
      <c r="D68" s="52">
        <v>1013</v>
      </c>
      <c r="E68" s="52">
        <v>85.2</v>
      </c>
      <c r="F68" s="52">
        <v>0</v>
      </c>
      <c r="G68" s="52">
        <v>0</v>
      </c>
      <c r="H68" s="52">
        <v>0</v>
      </c>
      <c r="I68" s="52">
        <v>1189</v>
      </c>
      <c r="J68" s="52">
        <v>1013</v>
      </c>
      <c r="K68" s="52">
        <v>85.2</v>
      </c>
    </row>
    <row r="69" spans="1:11" x14ac:dyDescent="0.25">
      <c r="A69" s="51" t="s">
        <v>345</v>
      </c>
      <c r="B69" s="52">
        <v>2026</v>
      </c>
      <c r="C69" s="52">
        <v>2</v>
      </c>
      <c r="D69" s="52">
        <v>1</v>
      </c>
      <c r="E69" s="52">
        <v>50</v>
      </c>
      <c r="F69" s="52">
        <v>9</v>
      </c>
      <c r="G69" s="52">
        <v>5</v>
      </c>
      <c r="H69" s="52">
        <v>55.56</v>
      </c>
      <c r="I69" s="52">
        <v>11</v>
      </c>
      <c r="J69" s="52">
        <v>6</v>
      </c>
      <c r="K69" s="52">
        <v>54.55</v>
      </c>
    </row>
    <row r="70" spans="1:11" x14ac:dyDescent="0.25">
      <c r="A70" s="47" t="s">
        <v>345</v>
      </c>
      <c r="B70" s="48">
        <v>2025</v>
      </c>
      <c r="C70" s="48">
        <v>0</v>
      </c>
      <c r="D70" s="48">
        <v>0</v>
      </c>
      <c r="E70" s="48">
        <v>0</v>
      </c>
      <c r="F70" s="48">
        <v>4</v>
      </c>
      <c r="G70" s="48">
        <v>0</v>
      </c>
      <c r="H70" s="48">
        <v>0</v>
      </c>
      <c r="I70" s="48">
        <v>4</v>
      </c>
      <c r="J70" s="48">
        <v>0</v>
      </c>
      <c r="K70" s="48">
        <v>0</v>
      </c>
    </row>
    <row r="71" spans="1:11" x14ac:dyDescent="0.25">
      <c r="A71" s="51" t="s">
        <v>346</v>
      </c>
      <c r="B71" s="52">
        <v>2026</v>
      </c>
      <c r="C71" s="52">
        <v>4</v>
      </c>
      <c r="D71" s="52">
        <v>3</v>
      </c>
      <c r="E71" s="52">
        <v>75</v>
      </c>
      <c r="F71" s="52">
        <v>1</v>
      </c>
      <c r="G71" s="52">
        <v>0</v>
      </c>
      <c r="H71" s="52">
        <v>0</v>
      </c>
      <c r="I71" s="52">
        <v>5</v>
      </c>
      <c r="J71" s="52">
        <v>3</v>
      </c>
      <c r="K71" s="52">
        <v>60</v>
      </c>
    </row>
    <row r="72" spans="1:11" x14ac:dyDescent="0.25">
      <c r="A72" s="47" t="s">
        <v>346</v>
      </c>
      <c r="B72" s="48">
        <v>2025</v>
      </c>
      <c r="C72" s="48">
        <v>4</v>
      </c>
      <c r="D72" s="48">
        <v>3</v>
      </c>
      <c r="E72" s="48">
        <v>75</v>
      </c>
      <c r="F72" s="48">
        <v>7</v>
      </c>
      <c r="G72" s="48">
        <v>5</v>
      </c>
      <c r="H72" s="48">
        <v>71.430000000000007</v>
      </c>
      <c r="I72" s="48">
        <v>11</v>
      </c>
      <c r="J72" s="48">
        <v>8</v>
      </c>
      <c r="K72" s="48">
        <v>72.73</v>
      </c>
    </row>
    <row r="73" spans="1:11" x14ac:dyDescent="0.25">
      <c r="A73" s="51" t="s">
        <v>480</v>
      </c>
      <c r="B73" s="52">
        <v>2026</v>
      </c>
      <c r="C73" s="52">
        <v>55</v>
      </c>
      <c r="D73" s="52">
        <v>50</v>
      </c>
      <c r="E73" s="52">
        <v>90.91</v>
      </c>
      <c r="F73" s="52">
        <v>39</v>
      </c>
      <c r="G73" s="52">
        <v>27</v>
      </c>
      <c r="H73" s="52">
        <v>69.23</v>
      </c>
      <c r="I73" s="52">
        <v>94</v>
      </c>
      <c r="J73" s="52">
        <v>77</v>
      </c>
      <c r="K73" s="52">
        <v>81.91</v>
      </c>
    </row>
    <row r="74" spans="1:11" x14ac:dyDescent="0.25">
      <c r="A74" s="47" t="s">
        <v>480</v>
      </c>
      <c r="B74" s="48">
        <v>2025</v>
      </c>
      <c r="C74" s="48">
        <v>72</v>
      </c>
      <c r="D74" s="48">
        <v>54</v>
      </c>
      <c r="E74" s="48">
        <v>75</v>
      </c>
      <c r="F74" s="48">
        <v>59</v>
      </c>
      <c r="G74" s="48">
        <v>30</v>
      </c>
      <c r="H74" s="48">
        <v>50.85</v>
      </c>
      <c r="I74" s="48">
        <v>131</v>
      </c>
      <c r="J74" s="48">
        <v>84</v>
      </c>
      <c r="K74" s="48">
        <v>64.12</v>
      </c>
    </row>
    <row r="75" spans="1:11" x14ac:dyDescent="0.25">
      <c r="A75" s="51" t="s">
        <v>317</v>
      </c>
      <c r="B75" s="52">
        <v>2026</v>
      </c>
      <c r="C75" s="52">
        <v>1418</v>
      </c>
      <c r="D75" s="52">
        <v>1255</v>
      </c>
      <c r="E75" s="52">
        <v>88.5</v>
      </c>
      <c r="F75" s="52">
        <v>0</v>
      </c>
      <c r="G75" s="52">
        <v>0</v>
      </c>
      <c r="H75" s="52">
        <v>0</v>
      </c>
      <c r="I75" s="52">
        <v>1418</v>
      </c>
      <c r="J75" s="52">
        <v>1255</v>
      </c>
      <c r="K75" s="52">
        <v>88.5</v>
      </c>
    </row>
    <row r="76" spans="1:11" x14ac:dyDescent="0.25">
      <c r="A76" s="51" t="s">
        <v>481</v>
      </c>
      <c r="B76" s="52">
        <v>2026</v>
      </c>
      <c r="C76" s="52">
        <v>1402</v>
      </c>
      <c r="D76" s="52">
        <v>1390</v>
      </c>
      <c r="E76" s="52">
        <v>99.14</v>
      </c>
      <c r="F76" s="52">
        <v>0</v>
      </c>
      <c r="G76" s="52">
        <v>0</v>
      </c>
      <c r="H76" s="52">
        <v>0</v>
      </c>
      <c r="I76" s="52">
        <v>1402</v>
      </c>
      <c r="J76" s="52">
        <v>1390</v>
      </c>
      <c r="K76" s="52">
        <v>99.14</v>
      </c>
    </row>
    <row r="77" spans="1:11" x14ac:dyDescent="0.25">
      <c r="A77" s="51" t="s">
        <v>482</v>
      </c>
      <c r="B77" s="52">
        <v>2026</v>
      </c>
      <c r="C77" s="52">
        <v>8566</v>
      </c>
      <c r="D77" s="52">
        <v>7356</v>
      </c>
      <c r="E77" s="52">
        <v>85.87</v>
      </c>
      <c r="F77" s="52">
        <v>2830</v>
      </c>
      <c r="G77" s="52">
        <v>2260</v>
      </c>
      <c r="H77" s="52">
        <v>79.86</v>
      </c>
      <c r="I77" s="52">
        <v>11396</v>
      </c>
      <c r="J77" s="52">
        <v>9616</v>
      </c>
      <c r="K77" s="52">
        <v>84.38</v>
      </c>
    </row>
    <row r="78" spans="1:11" x14ac:dyDescent="0.25">
      <c r="A78" s="47" t="s">
        <v>482</v>
      </c>
      <c r="B78" s="48">
        <v>2025</v>
      </c>
      <c r="C78" s="48">
        <v>8512</v>
      </c>
      <c r="D78" s="48">
        <v>7432</v>
      </c>
      <c r="E78" s="48">
        <v>87.31</v>
      </c>
      <c r="F78" s="48">
        <v>2399</v>
      </c>
      <c r="G78" s="48">
        <v>2001</v>
      </c>
      <c r="H78" s="48">
        <v>83.41</v>
      </c>
      <c r="I78" s="48">
        <v>10911</v>
      </c>
      <c r="J78" s="48">
        <v>9433</v>
      </c>
      <c r="K78" s="48">
        <v>86.45</v>
      </c>
    </row>
    <row r="79" spans="1:11" x14ac:dyDescent="0.25">
      <c r="A79" s="51" t="s">
        <v>483</v>
      </c>
      <c r="B79" s="52">
        <v>2026</v>
      </c>
      <c r="C79" s="52">
        <v>10</v>
      </c>
      <c r="D79" s="52">
        <v>8</v>
      </c>
      <c r="E79" s="52">
        <v>80</v>
      </c>
      <c r="F79" s="52">
        <v>143</v>
      </c>
      <c r="G79" s="52">
        <v>134</v>
      </c>
      <c r="H79" s="52">
        <v>93.71</v>
      </c>
      <c r="I79" s="52">
        <v>153</v>
      </c>
      <c r="J79" s="52">
        <v>142</v>
      </c>
      <c r="K79" s="52">
        <v>92.81</v>
      </c>
    </row>
    <row r="80" spans="1:11" x14ac:dyDescent="0.25">
      <c r="A80" s="47" t="s">
        <v>483</v>
      </c>
      <c r="B80" s="48">
        <v>2025</v>
      </c>
      <c r="C80" s="48">
        <v>38</v>
      </c>
      <c r="D80" s="48">
        <v>37</v>
      </c>
      <c r="E80" s="48">
        <v>97.37</v>
      </c>
      <c r="F80" s="48">
        <v>111</v>
      </c>
      <c r="G80" s="48">
        <v>92</v>
      </c>
      <c r="H80" s="48">
        <v>82.88</v>
      </c>
      <c r="I80" s="48">
        <v>149</v>
      </c>
      <c r="J80" s="48">
        <v>129</v>
      </c>
      <c r="K80" s="48">
        <v>86.58</v>
      </c>
    </row>
    <row r="81" spans="1:11" x14ac:dyDescent="0.25">
      <c r="A81" s="51" t="s">
        <v>348</v>
      </c>
      <c r="B81" s="52">
        <v>2026</v>
      </c>
      <c r="C81" s="52">
        <v>32</v>
      </c>
      <c r="D81" s="52">
        <v>23</v>
      </c>
      <c r="E81" s="52">
        <v>71.88</v>
      </c>
      <c r="F81" s="52">
        <v>18</v>
      </c>
      <c r="G81" s="52">
        <v>15</v>
      </c>
      <c r="H81" s="52">
        <v>83.33</v>
      </c>
      <c r="I81" s="52">
        <v>50</v>
      </c>
      <c r="J81" s="52">
        <v>38</v>
      </c>
      <c r="K81" s="52">
        <v>76</v>
      </c>
    </row>
    <row r="82" spans="1:11" x14ac:dyDescent="0.25">
      <c r="A82" s="47" t="s">
        <v>348</v>
      </c>
      <c r="B82" s="48">
        <v>2025</v>
      </c>
      <c r="C82" s="48">
        <v>0</v>
      </c>
      <c r="D82" s="48">
        <v>0</v>
      </c>
      <c r="E82" s="48">
        <v>0</v>
      </c>
      <c r="F82" s="48">
        <v>25</v>
      </c>
      <c r="G82" s="48">
        <v>13</v>
      </c>
      <c r="H82" s="48">
        <v>52</v>
      </c>
      <c r="I82" s="48">
        <v>25</v>
      </c>
      <c r="J82" s="48">
        <v>13</v>
      </c>
      <c r="K82" s="48">
        <v>52</v>
      </c>
    </row>
    <row r="83" spans="1:11" ht="25.5" x14ac:dyDescent="0.25">
      <c r="A83" s="51" t="s">
        <v>349</v>
      </c>
      <c r="B83" s="52">
        <v>2026</v>
      </c>
      <c r="C83" s="52">
        <v>3262</v>
      </c>
      <c r="D83" s="52">
        <v>2832</v>
      </c>
      <c r="E83" s="52">
        <v>86.82</v>
      </c>
      <c r="F83" s="52">
        <v>0</v>
      </c>
      <c r="G83" s="52">
        <v>0</v>
      </c>
      <c r="H83" s="52">
        <v>0</v>
      </c>
      <c r="I83" s="52">
        <v>3262</v>
      </c>
      <c r="J83" s="52">
        <v>2832</v>
      </c>
      <c r="K83" s="52">
        <v>86.82</v>
      </c>
    </row>
    <row r="84" spans="1:11" ht="25.5" x14ac:dyDescent="0.25">
      <c r="A84" s="51" t="s">
        <v>484</v>
      </c>
      <c r="B84" s="52">
        <v>2026</v>
      </c>
      <c r="C84" s="52">
        <v>3220</v>
      </c>
      <c r="D84" s="52">
        <v>3184</v>
      </c>
      <c r="E84" s="52">
        <v>98.88</v>
      </c>
      <c r="F84" s="52">
        <v>0</v>
      </c>
      <c r="G84" s="52">
        <v>0</v>
      </c>
      <c r="H84" s="52">
        <v>0</v>
      </c>
      <c r="I84" s="52">
        <v>3220</v>
      </c>
      <c r="J84" s="52">
        <v>3184</v>
      </c>
      <c r="K84" s="52">
        <v>98.88</v>
      </c>
    </row>
    <row r="85" spans="1:11" x14ac:dyDescent="0.25">
      <c r="A85" s="51" t="s">
        <v>485</v>
      </c>
      <c r="B85" s="52">
        <v>2026</v>
      </c>
      <c r="C85" s="52">
        <v>175957</v>
      </c>
      <c r="D85" s="52">
        <v>164321</v>
      </c>
      <c r="E85" s="52">
        <v>93.39</v>
      </c>
      <c r="F85" s="52">
        <v>96433</v>
      </c>
      <c r="G85" s="52">
        <v>84500</v>
      </c>
      <c r="H85" s="52">
        <v>87.63</v>
      </c>
      <c r="I85" s="52">
        <v>272390</v>
      </c>
      <c r="J85" s="52">
        <v>248821</v>
      </c>
      <c r="K85" s="52">
        <v>91.35</v>
      </c>
    </row>
    <row r="86" spans="1:11" x14ac:dyDescent="0.25">
      <c r="A86" s="47" t="s">
        <v>485</v>
      </c>
      <c r="B86" s="48">
        <v>2025</v>
      </c>
      <c r="C86" s="48">
        <v>187559</v>
      </c>
      <c r="D86" s="48">
        <v>167574</v>
      </c>
      <c r="E86" s="48">
        <v>89.34</v>
      </c>
      <c r="F86" s="48">
        <v>111007</v>
      </c>
      <c r="G86" s="48">
        <v>90866</v>
      </c>
      <c r="H86" s="48">
        <v>81.86</v>
      </c>
      <c r="I86" s="48">
        <v>298566</v>
      </c>
      <c r="J86" s="48">
        <v>258440</v>
      </c>
      <c r="K86" s="48">
        <v>86.56</v>
      </c>
    </row>
    <row r="87" spans="1:11" x14ac:dyDescent="0.25">
      <c r="A87" s="51" t="s">
        <v>351</v>
      </c>
      <c r="B87" s="52">
        <v>2026</v>
      </c>
      <c r="C87" s="52">
        <v>179875</v>
      </c>
      <c r="D87" s="52">
        <v>123100</v>
      </c>
      <c r="E87" s="52">
        <v>68.44</v>
      </c>
      <c r="F87" s="52">
        <v>99591</v>
      </c>
      <c r="G87" s="52">
        <v>51106</v>
      </c>
      <c r="H87" s="52">
        <v>51.32</v>
      </c>
      <c r="I87" s="52">
        <v>279466</v>
      </c>
      <c r="J87" s="52">
        <v>174206</v>
      </c>
      <c r="K87" s="52">
        <v>62.34</v>
      </c>
    </row>
    <row r="88" spans="1:11" x14ac:dyDescent="0.25">
      <c r="A88" s="47" t="s">
        <v>351</v>
      </c>
      <c r="B88" s="48">
        <v>2025</v>
      </c>
      <c r="C88" s="48">
        <v>153328</v>
      </c>
      <c r="D88" s="48">
        <v>104841</v>
      </c>
      <c r="E88" s="48">
        <v>68.38</v>
      </c>
      <c r="F88" s="48">
        <v>80898</v>
      </c>
      <c r="G88" s="48">
        <v>41070</v>
      </c>
      <c r="H88" s="48">
        <v>50.77</v>
      </c>
      <c r="I88" s="48">
        <v>234226</v>
      </c>
      <c r="J88" s="48">
        <v>145911</v>
      </c>
      <c r="K88" s="48">
        <v>62.29</v>
      </c>
    </row>
    <row r="89" spans="1:11" x14ac:dyDescent="0.25">
      <c r="A89" s="51" t="s">
        <v>486</v>
      </c>
      <c r="B89" s="52">
        <v>2026</v>
      </c>
      <c r="C89" s="52">
        <v>0</v>
      </c>
      <c r="D89" s="52">
        <v>0</v>
      </c>
      <c r="E89" s="52">
        <v>0</v>
      </c>
      <c r="F89" s="52">
        <v>1</v>
      </c>
      <c r="G89" s="52">
        <v>0</v>
      </c>
      <c r="H89" s="52">
        <v>0</v>
      </c>
      <c r="I89" s="52">
        <v>1</v>
      </c>
      <c r="J89" s="52">
        <v>0</v>
      </c>
      <c r="K89" s="52">
        <v>0</v>
      </c>
    </row>
    <row r="90" spans="1:11" x14ac:dyDescent="0.25">
      <c r="A90" s="47" t="s">
        <v>486</v>
      </c>
      <c r="B90" s="48">
        <v>2025</v>
      </c>
      <c r="C90" s="48">
        <v>0</v>
      </c>
      <c r="D90" s="48">
        <v>0</v>
      </c>
      <c r="E90" s="48">
        <v>0</v>
      </c>
      <c r="F90" s="48">
        <v>5</v>
      </c>
      <c r="G90" s="48">
        <v>5</v>
      </c>
      <c r="H90" s="48">
        <v>100</v>
      </c>
      <c r="I90" s="48">
        <v>5</v>
      </c>
      <c r="J90" s="48">
        <v>5</v>
      </c>
      <c r="K90" s="48">
        <v>100</v>
      </c>
    </row>
    <row r="91" spans="1:11" x14ac:dyDescent="0.25">
      <c r="A91" s="47" t="s">
        <v>487</v>
      </c>
      <c r="B91" s="48">
        <v>2025</v>
      </c>
      <c r="C91" s="48">
        <v>189</v>
      </c>
      <c r="D91" s="48">
        <v>189</v>
      </c>
      <c r="E91" s="48">
        <v>100</v>
      </c>
      <c r="F91" s="48">
        <v>12</v>
      </c>
      <c r="G91" s="48">
        <v>12</v>
      </c>
      <c r="H91" s="48">
        <v>100</v>
      </c>
      <c r="I91" s="48">
        <v>201</v>
      </c>
      <c r="J91" s="48">
        <v>201</v>
      </c>
      <c r="K91" s="48">
        <v>100</v>
      </c>
    </row>
    <row r="92" spans="1:11" x14ac:dyDescent="0.25">
      <c r="A92" s="51" t="s">
        <v>352</v>
      </c>
      <c r="B92" s="52">
        <v>2026</v>
      </c>
      <c r="C92" s="52">
        <v>9</v>
      </c>
      <c r="D92" s="52">
        <v>8</v>
      </c>
      <c r="E92" s="52">
        <v>88.89</v>
      </c>
      <c r="F92" s="52">
        <v>46</v>
      </c>
      <c r="G92" s="52">
        <v>45</v>
      </c>
      <c r="H92" s="52">
        <v>97.83</v>
      </c>
      <c r="I92" s="52">
        <v>55</v>
      </c>
      <c r="J92" s="52">
        <v>53</v>
      </c>
      <c r="K92" s="52">
        <v>96.36</v>
      </c>
    </row>
    <row r="93" spans="1:11" x14ac:dyDescent="0.25">
      <c r="A93" s="47" t="s">
        <v>352</v>
      </c>
      <c r="B93" s="48">
        <v>2025</v>
      </c>
      <c r="C93" s="48">
        <v>90</v>
      </c>
      <c r="D93" s="48">
        <v>90</v>
      </c>
      <c r="E93" s="48">
        <v>100</v>
      </c>
      <c r="F93" s="48">
        <v>69</v>
      </c>
      <c r="G93" s="48">
        <v>63</v>
      </c>
      <c r="H93" s="48">
        <v>91.3</v>
      </c>
      <c r="I93" s="48">
        <v>159</v>
      </c>
      <c r="J93" s="48">
        <v>153</v>
      </c>
      <c r="K93" s="48">
        <v>96.23</v>
      </c>
    </row>
    <row r="94" spans="1:11" x14ac:dyDescent="0.25">
      <c r="A94" s="51" t="s">
        <v>189</v>
      </c>
      <c r="B94" s="52">
        <v>2026</v>
      </c>
      <c r="C94" s="52">
        <v>136001</v>
      </c>
      <c r="D94" s="52">
        <v>113387</v>
      </c>
      <c r="E94" s="52">
        <v>83.37</v>
      </c>
      <c r="F94" s="52">
        <v>67413</v>
      </c>
      <c r="G94" s="52">
        <v>47190</v>
      </c>
      <c r="H94" s="52">
        <v>70</v>
      </c>
      <c r="I94" s="52">
        <v>203414</v>
      </c>
      <c r="J94" s="52">
        <v>160577</v>
      </c>
      <c r="K94" s="52">
        <v>78.94</v>
      </c>
    </row>
    <row r="95" spans="1:11" x14ac:dyDescent="0.25">
      <c r="A95" s="47" t="s">
        <v>189</v>
      </c>
      <c r="B95" s="48">
        <v>2025</v>
      </c>
      <c r="C95" s="48">
        <v>153331</v>
      </c>
      <c r="D95" s="48">
        <v>115146</v>
      </c>
      <c r="E95" s="48">
        <v>75.099999999999994</v>
      </c>
      <c r="F95" s="48">
        <v>80890</v>
      </c>
      <c r="G95" s="48">
        <v>49252</v>
      </c>
      <c r="H95" s="48">
        <v>60.89</v>
      </c>
      <c r="I95" s="48">
        <v>234221</v>
      </c>
      <c r="J95" s="48">
        <v>164398</v>
      </c>
      <c r="K95" s="48">
        <v>70.19</v>
      </c>
    </row>
    <row r="96" spans="1:11" x14ac:dyDescent="0.25">
      <c r="A96" s="51" t="s">
        <v>354</v>
      </c>
      <c r="B96" s="52">
        <v>2026</v>
      </c>
      <c r="C96" s="52">
        <v>4864</v>
      </c>
      <c r="D96" s="52">
        <v>3982</v>
      </c>
      <c r="E96" s="52">
        <v>81.87</v>
      </c>
      <c r="F96" s="52">
        <v>0</v>
      </c>
      <c r="G96" s="52">
        <v>0</v>
      </c>
      <c r="H96" s="52">
        <v>0</v>
      </c>
      <c r="I96" s="52">
        <v>4864</v>
      </c>
      <c r="J96" s="52">
        <v>3982</v>
      </c>
      <c r="K96" s="52">
        <v>81.87</v>
      </c>
    </row>
    <row r="97" spans="1:11" x14ac:dyDescent="0.25">
      <c r="A97" s="51" t="s">
        <v>488</v>
      </c>
      <c r="B97" s="52">
        <v>2026</v>
      </c>
      <c r="C97" s="52">
        <v>0</v>
      </c>
      <c r="D97" s="52">
        <v>0</v>
      </c>
      <c r="E97" s="52">
        <v>0</v>
      </c>
      <c r="F97" s="52">
        <v>5</v>
      </c>
      <c r="G97" s="52">
        <v>0</v>
      </c>
      <c r="H97" s="52">
        <v>0</v>
      </c>
      <c r="I97" s="52">
        <v>5</v>
      </c>
      <c r="J97" s="52">
        <v>0</v>
      </c>
      <c r="K97" s="52">
        <v>0</v>
      </c>
    </row>
    <row r="98" spans="1:11" x14ac:dyDescent="0.25">
      <c r="A98" s="47" t="s">
        <v>488</v>
      </c>
      <c r="B98" s="48">
        <v>2025</v>
      </c>
      <c r="C98" s="48">
        <v>0</v>
      </c>
      <c r="D98" s="48">
        <v>0</v>
      </c>
      <c r="E98" s="48">
        <v>0</v>
      </c>
      <c r="F98" s="48">
        <v>7</v>
      </c>
      <c r="G98" s="48">
        <v>1</v>
      </c>
      <c r="H98" s="48">
        <v>14.29</v>
      </c>
      <c r="I98" s="48">
        <v>7</v>
      </c>
      <c r="J98" s="48">
        <v>1</v>
      </c>
      <c r="K98" s="48">
        <v>14.29</v>
      </c>
    </row>
    <row r="99" spans="1:11" x14ac:dyDescent="0.25">
      <c r="A99" s="51" t="s">
        <v>355</v>
      </c>
      <c r="B99" s="52">
        <v>2026</v>
      </c>
      <c r="C99" s="52">
        <v>2186</v>
      </c>
      <c r="D99" s="52">
        <v>1851</v>
      </c>
      <c r="E99" s="52">
        <v>84.68</v>
      </c>
      <c r="F99" s="52">
        <v>1017</v>
      </c>
      <c r="G99" s="52">
        <v>841</v>
      </c>
      <c r="H99" s="52">
        <v>82.69</v>
      </c>
      <c r="I99" s="52">
        <v>3203</v>
      </c>
      <c r="J99" s="52">
        <v>2692</v>
      </c>
      <c r="K99" s="52">
        <v>84.05</v>
      </c>
    </row>
    <row r="100" spans="1:11" x14ac:dyDescent="0.25">
      <c r="A100" s="47" t="s">
        <v>355</v>
      </c>
      <c r="B100" s="48">
        <v>2025</v>
      </c>
      <c r="C100" s="48">
        <v>1532</v>
      </c>
      <c r="D100" s="48">
        <v>1255</v>
      </c>
      <c r="E100" s="48">
        <v>81.92</v>
      </c>
      <c r="F100" s="48">
        <v>848</v>
      </c>
      <c r="G100" s="48">
        <v>651</v>
      </c>
      <c r="H100" s="48">
        <v>76.77</v>
      </c>
      <c r="I100" s="48">
        <v>2380</v>
      </c>
      <c r="J100" s="48">
        <v>1906</v>
      </c>
      <c r="K100" s="48">
        <v>80.08</v>
      </c>
    </row>
    <row r="101" spans="1:11" x14ac:dyDescent="0.25">
      <c r="A101" s="51" t="s">
        <v>356</v>
      </c>
      <c r="B101" s="52">
        <v>2026</v>
      </c>
      <c r="C101" s="52">
        <v>6885</v>
      </c>
      <c r="D101" s="52">
        <v>5944</v>
      </c>
      <c r="E101" s="52">
        <v>86.33</v>
      </c>
      <c r="F101" s="52">
        <v>7520</v>
      </c>
      <c r="G101" s="52">
        <v>6499</v>
      </c>
      <c r="H101" s="52">
        <v>86.42</v>
      </c>
      <c r="I101" s="52">
        <v>14405</v>
      </c>
      <c r="J101" s="52">
        <v>12443</v>
      </c>
      <c r="K101" s="52">
        <v>86.38</v>
      </c>
    </row>
    <row r="102" spans="1:11" x14ac:dyDescent="0.25">
      <c r="A102" s="47" t="s">
        <v>356</v>
      </c>
      <c r="B102" s="48">
        <v>2025</v>
      </c>
      <c r="C102" s="48">
        <v>7403</v>
      </c>
      <c r="D102" s="48">
        <v>6403</v>
      </c>
      <c r="E102" s="48">
        <v>86.49</v>
      </c>
      <c r="F102" s="48">
        <v>9119</v>
      </c>
      <c r="G102" s="48">
        <v>8078</v>
      </c>
      <c r="H102" s="48">
        <v>88.58</v>
      </c>
      <c r="I102" s="48">
        <v>16522</v>
      </c>
      <c r="J102" s="48">
        <v>14481</v>
      </c>
      <c r="K102" s="48">
        <v>87.65</v>
      </c>
    </row>
    <row r="103" spans="1:11" x14ac:dyDescent="0.25">
      <c r="A103" s="51" t="s">
        <v>357</v>
      </c>
      <c r="B103" s="52">
        <v>2026</v>
      </c>
      <c r="C103" s="52">
        <v>4100</v>
      </c>
      <c r="D103" s="52">
        <v>3433</v>
      </c>
      <c r="E103" s="52">
        <v>83.73</v>
      </c>
      <c r="F103" s="52">
        <v>3213</v>
      </c>
      <c r="G103" s="52">
        <v>2394</v>
      </c>
      <c r="H103" s="52">
        <v>74.510000000000005</v>
      </c>
      <c r="I103" s="52">
        <v>7313</v>
      </c>
      <c r="J103" s="52">
        <v>5827</v>
      </c>
      <c r="K103" s="52">
        <v>79.680000000000007</v>
      </c>
    </row>
    <row r="104" spans="1:11" x14ac:dyDescent="0.25">
      <c r="A104" s="47" t="s">
        <v>357</v>
      </c>
      <c r="B104" s="48">
        <v>2025</v>
      </c>
      <c r="C104" s="48">
        <v>3987</v>
      </c>
      <c r="D104" s="48">
        <v>3451</v>
      </c>
      <c r="E104" s="48">
        <v>86.56</v>
      </c>
      <c r="F104" s="48">
        <v>4102</v>
      </c>
      <c r="G104" s="48">
        <v>3139</v>
      </c>
      <c r="H104" s="48">
        <v>76.52</v>
      </c>
      <c r="I104" s="48">
        <v>8089</v>
      </c>
      <c r="J104" s="48">
        <v>6590</v>
      </c>
      <c r="K104" s="48">
        <v>81.47</v>
      </c>
    </row>
    <row r="105" spans="1:11" x14ac:dyDescent="0.25">
      <c r="A105" s="51" t="s">
        <v>489</v>
      </c>
      <c r="B105" s="52">
        <v>2026</v>
      </c>
      <c r="C105" s="52">
        <v>2</v>
      </c>
      <c r="D105" s="52">
        <v>2</v>
      </c>
      <c r="E105" s="52">
        <v>100</v>
      </c>
      <c r="F105" s="52">
        <v>14</v>
      </c>
      <c r="G105" s="52">
        <v>13</v>
      </c>
      <c r="H105" s="52">
        <v>92.86</v>
      </c>
      <c r="I105" s="52">
        <v>16</v>
      </c>
      <c r="J105" s="52">
        <v>15</v>
      </c>
      <c r="K105" s="52">
        <v>93.75</v>
      </c>
    </row>
    <row r="106" spans="1:11" x14ac:dyDescent="0.25">
      <c r="A106" s="47" t="s">
        <v>489</v>
      </c>
      <c r="B106" s="48">
        <v>2025</v>
      </c>
      <c r="C106" s="48">
        <v>4</v>
      </c>
      <c r="D106" s="48">
        <v>4</v>
      </c>
      <c r="E106" s="48">
        <v>100</v>
      </c>
      <c r="F106" s="48">
        <v>16</v>
      </c>
      <c r="G106" s="48">
        <v>16</v>
      </c>
      <c r="H106" s="48">
        <v>100</v>
      </c>
      <c r="I106" s="48">
        <v>20</v>
      </c>
      <c r="J106" s="48">
        <v>20</v>
      </c>
      <c r="K106" s="48">
        <v>100</v>
      </c>
    </row>
    <row r="107" spans="1:11" x14ac:dyDescent="0.25">
      <c r="A107" s="51" t="s">
        <v>358</v>
      </c>
      <c r="B107" s="52">
        <v>2026</v>
      </c>
      <c r="C107" s="52">
        <v>10</v>
      </c>
      <c r="D107" s="52">
        <v>10</v>
      </c>
      <c r="E107" s="52">
        <v>100</v>
      </c>
      <c r="F107" s="52">
        <v>1</v>
      </c>
      <c r="G107" s="52">
        <v>1</v>
      </c>
      <c r="H107" s="52">
        <v>100</v>
      </c>
      <c r="I107" s="52">
        <v>11</v>
      </c>
      <c r="J107" s="52">
        <v>11</v>
      </c>
      <c r="K107" s="52">
        <v>100</v>
      </c>
    </row>
    <row r="108" spans="1:11" x14ac:dyDescent="0.25">
      <c r="A108" s="47" t="s">
        <v>358</v>
      </c>
      <c r="B108" s="48">
        <v>2025</v>
      </c>
      <c r="C108" s="48">
        <v>20</v>
      </c>
      <c r="D108" s="48">
        <v>20</v>
      </c>
      <c r="E108" s="48">
        <v>100</v>
      </c>
      <c r="F108" s="48">
        <v>0</v>
      </c>
      <c r="G108" s="48">
        <v>0</v>
      </c>
      <c r="H108" s="48">
        <v>0</v>
      </c>
      <c r="I108" s="48">
        <v>20</v>
      </c>
      <c r="J108" s="48">
        <v>20</v>
      </c>
      <c r="K108" s="48">
        <v>100</v>
      </c>
    </row>
    <row r="109" spans="1:11" x14ac:dyDescent="0.25">
      <c r="A109" s="51" t="s">
        <v>359</v>
      </c>
      <c r="B109" s="52">
        <v>2026</v>
      </c>
      <c r="C109" s="52">
        <v>175593</v>
      </c>
      <c r="D109" s="52">
        <v>167939</v>
      </c>
      <c r="E109" s="52">
        <v>95.64</v>
      </c>
      <c r="F109" s="52">
        <v>96364</v>
      </c>
      <c r="G109" s="52">
        <v>87784</v>
      </c>
      <c r="H109" s="52">
        <v>91.1</v>
      </c>
      <c r="I109" s="52">
        <v>271957</v>
      </c>
      <c r="J109" s="52">
        <v>255723</v>
      </c>
      <c r="K109" s="52">
        <v>94.03</v>
      </c>
    </row>
    <row r="110" spans="1:11" x14ac:dyDescent="0.25">
      <c r="A110" s="47" t="s">
        <v>359</v>
      </c>
      <c r="B110" s="48">
        <v>2025</v>
      </c>
      <c r="C110" s="48">
        <v>186798</v>
      </c>
      <c r="D110" s="48">
        <v>175076</v>
      </c>
      <c r="E110" s="48">
        <v>93.72</v>
      </c>
      <c r="F110" s="48">
        <v>110799</v>
      </c>
      <c r="G110" s="48">
        <v>97808</v>
      </c>
      <c r="H110" s="48">
        <v>88.28</v>
      </c>
      <c r="I110" s="48">
        <v>297597</v>
      </c>
      <c r="J110" s="48">
        <v>272884</v>
      </c>
      <c r="K110" s="48">
        <v>91.7</v>
      </c>
    </row>
    <row r="111" spans="1:11" x14ac:dyDescent="0.25">
      <c r="A111" s="51" t="s">
        <v>490</v>
      </c>
      <c r="B111" s="52">
        <v>2026</v>
      </c>
      <c r="C111" s="52">
        <v>180136</v>
      </c>
      <c r="D111" s="52">
        <v>171890</v>
      </c>
      <c r="E111" s="52">
        <v>95.42</v>
      </c>
      <c r="F111" s="52">
        <v>99802</v>
      </c>
      <c r="G111" s="52">
        <v>91058</v>
      </c>
      <c r="H111" s="52">
        <v>91.24</v>
      </c>
      <c r="I111" s="52">
        <v>279938</v>
      </c>
      <c r="J111" s="52">
        <v>262948</v>
      </c>
      <c r="K111" s="52">
        <v>93.93</v>
      </c>
    </row>
    <row r="112" spans="1:11" x14ac:dyDescent="0.25">
      <c r="A112" s="47" t="s">
        <v>490</v>
      </c>
      <c r="B112" s="48">
        <v>2025</v>
      </c>
      <c r="C112" s="48">
        <v>191633</v>
      </c>
      <c r="D112" s="48">
        <v>180593</v>
      </c>
      <c r="E112" s="48">
        <v>94.24</v>
      </c>
      <c r="F112" s="48">
        <v>115245</v>
      </c>
      <c r="G112" s="48">
        <v>103382</v>
      </c>
      <c r="H112" s="48">
        <v>89.71</v>
      </c>
      <c r="I112" s="48">
        <v>306878</v>
      </c>
      <c r="J112" s="48">
        <v>283975</v>
      </c>
      <c r="K112" s="48">
        <v>92.54</v>
      </c>
    </row>
    <row r="113" spans="1:11" x14ac:dyDescent="0.25">
      <c r="A113" s="51" t="s">
        <v>491</v>
      </c>
      <c r="B113" s="52">
        <v>2026</v>
      </c>
      <c r="C113" s="52">
        <v>2</v>
      </c>
      <c r="D113" s="52">
        <v>2</v>
      </c>
      <c r="E113" s="52">
        <v>100</v>
      </c>
      <c r="F113" s="52">
        <v>14</v>
      </c>
      <c r="G113" s="52">
        <v>14</v>
      </c>
      <c r="H113" s="52">
        <v>100</v>
      </c>
      <c r="I113" s="52">
        <v>16</v>
      </c>
      <c r="J113" s="52">
        <v>16</v>
      </c>
      <c r="K113" s="52">
        <v>100</v>
      </c>
    </row>
    <row r="114" spans="1:11" x14ac:dyDescent="0.25">
      <c r="A114" s="47" t="s">
        <v>491</v>
      </c>
      <c r="B114" s="48">
        <v>2025</v>
      </c>
      <c r="C114" s="48">
        <v>4</v>
      </c>
      <c r="D114" s="48">
        <v>4</v>
      </c>
      <c r="E114" s="48">
        <v>100</v>
      </c>
      <c r="F114" s="48">
        <v>16</v>
      </c>
      <c r="G114" s="48">
        <v>14</v>
      </c>
      <c r="H114" s="48">
        <v>87.5</v>
      </c>
      <c r="I114" s="48">
        <v>20</v>
      </c>
      <c r="J114" s="48">
        <v>18</v>
      </c>
      <c r="K114" s="48">
        <v>90</v>
      </c>
    </row>
    <row r="115" spans="1:11" x14ac:dyDescent="0.25">
      <c r="A115" s="51" t="s">
        <v>492</v>
      </c>
      <c r="B115" s="52">
        <v>2026</v>
      </c>
      <c r="C115" s="52">
        <v>0</v>
      </c>
      <c r="D115" s="52">
        <v>0</v>
      </c>
      <c r="E115" s="52">
        <v>0</v>
      </c>
      <c r="F115" s="52">
        <v>5</v>
      </c>
      <c r="G115" s="52">
        <v>1</v>
      </c>
      <c r="H115" s="52">
        <v>20</v>
      </c>
      <c r="I115" s="52">
        <v>5</v>
      </c>
      <c r="J115" s="52">
        <v>1</v>
      </c>
      <c r="K115" s="52">
        <v>20</v>
      </c>
    </row>
    <row r="116" spans="1:11" x14ac:dyDescent="0.25">
      <c r="A116" s="47" t="s">
        <v>492</v>
      </c>
      <c r="B116" s="48">
        <v>2025</v>
      </c>
      <c r="C116" s="48">
        <v>0</v>
      </c>
      <c r="D116" s="48">
        <v>0</v>
      </c>
      <c r="E116" s="48">
        <v>0</v>
      </c>
      <c r="F116" s="48">
        <v>3</v>
      </c>
      <c r="G116" s="48">
        <v>0</v>
      </c>
      <c r="H116" s="48">
        <v>0</v>
      </c>
      <c r="I116" s="48">
        <v>3</v>
      </c>
      <c r="J116" s="48">
        <v>0</v>
      </c>
      <c r="K116" s="48">
        <v>0</v>
      </c>
    </row>
    <row r="117" spans="1:11" x14ac:dyDescent="0.25">
      <c r="A117" s="51" t="s">
        <v>493</v>
      </c>
      <c r="B117" s="52">
        <v>2026</v>
      </c>
      <c r="C117" s="52">
        <v>250</v>
      </c>
      <c r="D117" s="52">
        <v>238</v>
      </c>
      <c r="E117" s="52">
        <v>95.2</v>
      </c>
      <c r="F117" s="52">
        <v>41</v>
      </c>
      <c r="G117" s="52">
        <v>40</v>
      </c>
      <c r="H117" s="52">
        <v>97.56</v>
      </c>
      <c r="I117" s="52">
        <v>291</v>
      </c>
      <c r="J117" s="52">
        <v>278</v>
      </c>
      <c r="K117" s="52">
        <v>95.53</v>
      </c>
    </row>
    <row r="118" spans="1:11" x14ac:dyDescent="0.25">
      <c r="A118" s="47" t="s">
        <v>493</v>
      </c>
      <c r="B118" s="48">
        <v>2025</v>
      </c>
      <c r="C118" s="48">
        <v>87</v>
      </c>
      <c r="D118" s="48">
        <v>83</v>
      </c>
      <c r="E118" s="48">
        <v>95.4</v>
      </c>
      <c r="F118" s="48">
        <v>13</v>
      </c>
      <c r="G118" s="48">
        <v>11</v>
      </c>
      <c r="H118" s="48">
        <v>84.62</v>
      </c>
      <c r="I118" s="48">
        <v>100</v>
      </c>
      <c r="J118" s="48">
        <v>94</v>
      </c>
      <c r="K118" s="48">
        <v>94</v>
      </c>
    </row>
  </sheetData>
  <autoFilter ref="A3:K118" xr:uid="{00000000-0009-0000-0000-000020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3"/>
  <sheetViews>
    <sheetView zoomScaleNormal="100" workbookViewId="0">
      <pane ySplit="3" topLeftCell="A4" activePane="bottomLeft" state="frozen"/>
      <selection pane="bottomLeft" activeCell="G5" sqref="G5"/>
    </sheetView>
  </sheetViews>
  <sheetFormatPr defaultColWidth="8.7109375" defaultRowHeight="15" x14ac:dyDescent="0.25"/>
  <cols>
    <col min="1" max="1" width="7" customWidth="1"/>
    <col min="2" max="2" width="18" customWidth="1"/>
    <col min="3" max="3" width="16" customWidth="1"/>
    <col min="4" max="4" width="18" customWidth="1"/>
    <col min="5" max="5" width="12" customWidth="1"/>
    <col min="6" max="6" width="16" customWidth="1"/>
  </cols>
  <sheetData>
    <row r="1" spans="1:6" ht="21.75" customHeight="1" x14ac:dyDescent="0.25">
      <c r="A1" s="2" t="s">
        <v>494</v>
      </c>
      <c r="B1" s="2"/>
      <c r="C1" s="2"/>
      <c r="D1" s="2"/>
      <c r="E1" s="2"/>
      <c r="F1" s="2"/>
    </row>
    <row r="2" spans="1:6" ht="15.75" customHeight="1" x14ac:dyDescent="0.25">
      <c r="A2" s="1" t="s">
        <v>495</v>
      </c>
      <c r="B2" s="1"/>
      <c r="C2" s="1"/>
      <c r="D2" s="1"/>
      <c r="E2" s="1"/>
      <c r="F2" s="1"/>
    </row>
    <row r="3" spans="1:6" ht="25.5" x14ac:dyDescent="0.25">
      <c r="A3" s="42" t="s">
        <v>121</v>
      </c>
      <c r="B3" s="42" t="s">
        <v>131</v>
      </c>
      <c r="C3" s="42" t="s">
        <v>496</v>
      </c>
      <c r="D3" s="42" t="s">
        <v>497</v>
      </c>
      <c r="E3" s="42" t="s">
        <v>498</v>
      </c>
      <c r="F3" s="42" t="s">
        <v>499</v>
      </c>
    </row>
    <row r="4" spans="1:6" x14ac:dyDescent="0.25">
      <c r="A4" s="51">
        <v>2026</v>
      </c>
      <c r="B4" s="52" t="s">
        <v>500</v>
      </c>
      <c r="C4" s="52">
        <v>21556</v>
      </c>
      <c r="D4" s="52">
        <v>21417</v>
      </c>
      <c r="E4" s="52">
        <v>99.36</v>
      </c>
      <c r="F4" s="52">
        <v>139</v>
      </c>
    </row>
    <row r="5" spans="1:6" x14ac:dyDescent="0.25">
      <c r="A5" s="51">
        <v>2026</v>
      </c>
      <c r="B5" s="52" t="s">
        <v>501</v>
      </c>
      <c r="C5" s="52">
        <v>39737</v>
      </c>
      <c r="D5" s="52">
        <v>39494</v>
      </c>
      <c r="E5" s="52">
        <v>99.39</v>
      </c>
      <c r="F5" s="52">
        <v>243</v>
      </c>
    </row>
    <row r="6" spans="1:6" x14ac:dyDescent="0.25">
      <c r="A6" s="51">
        <v>2026</v>
      </c>
      <c r="B6" s="52" t="s">
        <v>502</v>
      </c>
      <c r="C6" s="52">
        <v>0</v>
      </c>
      <c r="D6" s="52">
        <v>0</v>
      </c>
      <c r="E6" s="52">
        <v>0</v>
      </c>
      <c r="F6" s="52">
        <v>0</v>
      </c>
    </row>
    <row r="7" spans="1:6" x14ac:dyDescent="0.25">
      <c r="A7" s="51">
        <v>2026</v>
      </c>
      <c r="B7" s="52" t="s">
        <v>503</v>
      </c>
      <c r="C7" s="52">
        <v>0</v>
      </c>
      <c r="D7" s="52">
        <v>0</v>
      </c>
      <c r="E7" s="52">
        <v>0</v>
      </c>
      <c r="F7" s="52">
        <v>0</v>
      </c>
    </row>
    <row r="8" spans="1:6" x14ac:dyDescent="0.25">
      <c r="A8" s="51">
        <v>2026</v>
      </c>
      <c r="B8" s="52" t="s">
        <v>452</v>
      </c>
      <c r="C8" s="52">
        <v>61293</v>
      </c>
      <c r="D8" s="52">
        <v>60911</v>
      </c>
      <c r="E8" s="52">
        <v>99.38</v>
      </c>
      <c r="F8" s="52">
        <v>382</v>
      </c>
    </row>
    <row r="9" spans="1:6" x14ac:dyDescent="0.25">
      <c r="A9" s="47">
        <v>2025</v>
      </c>
      <c r="B9" s="48" t="s">
        <v>500</v>
      </c>
      <c r="C9" s="48">
        <v>19774</v>
      </c>
      <c r="D9" s="48">
        <v>19666</v>
      </c>
      <c r="E9" s="48">
        <v>99.45</v>
      </c>
      <c r="F9" s="48">
        <v>108</v>
      </c>
    </row>
    <row r="10" spans="1:6" x14ac:dyDescent="0.25">
      <c r="A10" s="47">
        <v>2025</v>
      </c>
      <c r="B10" s="48" t="s">
        <v>501</v>
      </c>
      <c r="C10" s="48">
        <v>39539</v>
      </c>
      <c r="D10" s="48">
        <v>39331</v>
      </c>
      <c r="E10" s="48">
        <v>99.47</v>
      </c>
      <c r="F10" s="48">
        <v>208</v>
      </c>
    </row>
    <row r="11" spans="1:6" x14ac:dyDescent="0.25">
      <c r="A11" s="47">
        <v>2025</v>
      </c>
      <c r="B11" s="48" t="s">
        <v>502</v>
      </c>
      <c r="C11" s="48">
        <v>0</v>
      </c>
      <c r="D11" s="48">
        <v>0</v>
      </c>
      <c r="E11" s="48">
        <v>0</v>
      </c>
      <c r="F11" s="48">
        <v>0</v>
      </c>
    </row>
    <row r="12" spans="1:6" x14ac:dyDescent="0.25">
      <c r="A12" s="47">
        <v>2025</v>
      </c>
      <c r="B12" s="48" t="s">
        <v>503</v>
      </c>
      <c r="C12" s="48">
        <v>0</v>
      </c>
      <c r="D12" s="48">
        <v>0</v>
      </c>
      <c r="E12" s="48">
        <v>0</v>
      </c>
      <c r="F12" s="48">
        <v>0</v>
      </c>
    </row>
    <row r="13" spans="1:6" x14ac:dyDescent="0.25">
      <c r="A13" s="47">
        <v>2025</v>
      </c>
      <c r="B13" s="48" t="s">
        <v>452</v>
      </c>
      <c r="C13" s="48">
        <v>59313</v>
      </c>
      <c r="D13" s="48">
        <v>58997</v>
      </c>
      <c r="E13" s="48">
        <v>99.47</v>
      </c>
      <c r="F13" s="48">
        <v>316</v>
      </c>
    </row>
  </sheetData>
  <autoFilter ref="A3:F13" xr:uid="{00000000-0009-0000-0000-000021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8" customWidth="1"/>
    <col min="3" max="3" width="16" customWidth="1"/>
    <col min="4" max="4" width="18" customWidth="1"/>
    <col min="5" max="5" width="12" customWidth="1"/>
    <col min="6" max="6" width="16" customWidth="1"/>
  </cols>
  <sheetData>
    <row r="1" spans="1:6" ht="21.75" customHeight="1" x14ac:dyDescent="0.25">
      <c r="A1" s="2" t="s">
        <v>504</v>
      </c>
      <c r="B1" s="2"/>
      <c r="C1" s="2"/>
      <c r="D1" s="2"/>
      <c r="E1" s="2"/>
      <c r="F1" s="2"/>
    </row>
    <row r="3" spans="1:6" ht="25.5" x14ac:dyDescent="0.25">
      <c r="A3" s="42" t="s">
        <v>121</v>
      </c>
      <c r="B3" s="42" t="s">
        <v>131</v>
      </c>
      <c r="C3" s="42" t="s">
        <v>496</v>
      </c>
      <c r="D3" s="42" t="s">
        <v>497</v>
      </c>
      <c r="E3" s="42" t="s">
        <v>498</v>
      </c>
      <c r="F3" s="42" t="s">
        <v>499</v>
      </c>
    </row>
    <row r="4" spans="1:6" x14ac:dyDescent="0.25">
      <c r="A4" s="51">
        <v>2026</v>
      </c>
      <c r="B4" s="52" t="s">
        <v>500</v>
      </c>
      <c r="C4" s="52">
        <v>10115</v>
      </c>
      <c r="D4" s="52">
        <v>10005</v>
      </c>
      <c r="E4" s="52">
        <v>98.91</v>
      </c>
      <c r="F4" s="52">
        <v>110</v>
      </c>
    </row>
    <row r="5" spans="1:6" x14ac:dyDescent="0.25">
      <c r="A5" s="51">
        <v>2026</v>
      </c>
      <c r="B5" s="52" t="s">
        <v>501</v>
      </c>
      <c r="C5" s="52">
        <v>8383</v>
      </c>
      <c r="D5" s="52">
        <v>8293</v>
      </c>
      <c r="E5" s="52">
        <v>98.93</v>
      </c>
      <c r="F5" s="52">
        <v>90</v>
      </c>
    </row>
    <row r="6" spans="1:6" x14ac:dyDescent="0.25">
      <c r="A6" s="51">
        <v>2026</v>
      </c>
      <c r="B6" s="52" t="s">
        <v>502</v>
      </c>
      <c r="C6" s="52">
        <v>593</v>
      </c>
      <c r="D6" s="52">
        <v>566</v>
      </c>
      <c r="E6" s="52">
        <v>95.45</v>
      </c>
      <c r="F6" s="52">
        <v>27</v>
      </c>
    </row>
    <row r="7" spans="1:6" x14ac:dyDescent="0.25">
      <c r="A7" s="51">
        <v>2026</v>
      </c>
      <c r="B7" s="52" t="s">
        <v>503</v>
      </c>
      <c r="C7" s="52">
        <v>2081</v>
      </c>
      <c r="D7" s="52">
        <v>1994</v>
      </c>
      <c r="E7" s="52">
        <v>95.82</v>
      </c>
      <c r="F7" s="52">
        <v>87</v>
      </c>
    </row>
    <row r="8" spans="1:6" x14ac:dyDescent="0.25">
      <c r="A8" s="51">
        <v>2026</v>
      </c>
      <c r="B8" s="52" t="s">
        <v>452</v>
      </c>
      <c r="C8" s="52">
        <v>21172</v>
      </c>
      <c r="D8" s="52">
        <v>20858</v>
      </c>
      <c r="E8" s="52">
        <v>98.52</v>
      </c>
      <c r="F8" s="52">
        <v>314</v>
      </c>
    </row>
    <row r="9" spans="1:6" x14ac:dyDescent="0.25">
      <c r="A9" s="47">
        <v>2025</v>
      </c>
      <c r="B9" s="48" t="s">
        <v>500</v>
      </c>
      <c r="C9" s="48">
        <v>10833</v>
      </c>
      <c r="D9" s="48">
        <v>10741</v>
      </c>
      <c r="E9" s="48">
        <v>99.15</v>
      </c>
      <c r="F9" s="48">
        <v>92</v>
      </c>
    </row>
    <row r="10" spans="1:6" x14ac:dyDescent="0.25">
      <c r="A10" s="47">
        <v>2025</v>
      </c>
      <c r="B10" s="48" t="s">
        <v>501</v>
      </c>
      <c r="C10" s="48">
        <v>9665</v>
      </c>
      <c r="D10" s="48">
        <v>9562</v>
      </c>
      <c r="E10" s="48">
        <v>98.93</v>
      </c>
      <c r="F10" s="48">
        <v>103</v>
      </c>
    </row>
    <row r="11" spans="1:6" x14ac:dyDescent="0.25">
      <c r="A11" s="47">
        <v>2025</v>
      </c>
      <c r="B11" s="48" t="s">
        <v>502</v>
      </c>
      <c r="C11" s="48">
        <v>648</v>
      </c>
      <c r="D11" s="48">
        <v>615</v>
      </c>
      <c r="E11" s="48">
        <v>94.91</v>
      </c>
      <c r="F11" s="48">
        <v>33</v>
      </c>
    </row>
    <row r="12" spans="1:6" x14ac:dyDescent="0.25">
      <c r="A12" s="47">
        <v>2025</v>
      </c>
      <c r="B12" s="48" t="s">
        <v>503</v>
      </c>
      <c r="C12" s="48">
        <v>2207</v>
      </c>
      <c r="D12" s="48">
        <v>2087</v>
      </c>
      <c r="E12" s="48">
        <v>94.56</v>
      </c>
      <c r="F12" s="48">
        <v>120</v>
      </c>
    </row>
    <row r="13" spans="1:6" x14ac:dyDescent="0.25">
      <c r="A13" s="47">
        <v>2025</v>
      </c>
      <c r="B13" s="48" t="s">
        <v>452</v>
      </c>
      <c r="C13" s="48">
        <v>23353</v>
      </c>
      <c r="D13" s="48">
        <v>23005</v>
      </c>
      <c r="E13" s="48">
        <v>98.51</v>
      </c>
      <c r="F13" s="48">
        <v>348</v>
      </c>
    </row>
  </sheetData>
  <autoFilter ref="A3:F13" xr:uid="{00000000-0009-0000-0000-000022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18" customWidth="1"/>
    <col min="4" max="4" width="12" customWidth="1"/>
    <col min="5" max="5" width="16" customWidth="1"/>
  </cols>
  <sheetData>
    <row r="1" spans="1:5" ht="21.75" customHeight="1" x14ac:dyDescent="0.25">
      <c r="A1" s="2" t="s">
        <v>505</v>
      </c>
      <c r="B1" s="2"/>
      <c r="C1" s="2"/>
      <c r="D1" s="2"/>
      <c r="E1" s="2"/>
    </row>
    <row r="3" spans="1:5" ht="25.5" x14ac:dyDescent="0.25">
      <c r="A3" s="42" t="s">
        <v>121</v>
      </c>
      <c r="B3" s="42" t="s">
        <v>496</v>
      </c>
      <c r="C3" s="42" t="s">
        <v>497</v>
      </c>
      <c r="D3" s="42" t="s">
        <v>498</v>
      </c>
      <c r="E3" s="42" t="s">
        <v>499</v>
      </c>
    </row>
    <row r="4" spans="1:5" x14ac:dyDescent="0.25">
      <c r="A4" s="51">
        <v>2026</v>
      </c>
      <c r="B4" s="52">
        <v>82465</v>
      </c>
      <c r="C4" s="52">
        <v>81769</v>
      </c>
      <c r="D4" s="52">
        <v>99.16</v>
      </c>
      <c r="E4" s="52">
        <v>696</v>
      </c>
    </row>
    <row r="5" spans="1:5" x14ac:dyDescent="0.25">
      <c r="A5" s="47">
        <v>2025</v>
      </c>
      <c r="B5" s="48">
        <v>82666</v>
      </c>
      <c r="C5" s="48">
        <v>82002</v>
      </c>
      <c r="D5" s="48">
        <v>99.2</v>
      </c>
      <c r="E5" s="48">
        <v>664</v>
      </c>
    </row>
    <row r="6" spans="1:5" x14ac:dyDescent="0.25">
      <c r="A6" s="53" t="s">
        <v>125</v>
      </c>
      <c r="B6" s="54">
        <v>-201</v>
      </c>
      <c r="C6" s="54">
        <v>-233</v>
      </c>
      <c r="D6" s="54">
        <v>-0.04</v>
      </c>
      <c r="E6" s="54">
        <v>32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6" customWidth="1"/>
    <col min="3" max="3" width="9" customWidth="1"/>
    <col min="4" max="4" width="14" customWidth="1"/>
    <col min="5" max="5" width="10" customWidth="1"/>
    <col min="6" max="6" width="11" customWidth="1"/>
    <col min="7" max="7" width="14" customWidth="1"/>
    <col min="8" max="12" width="8" customWidth="1"/>
    <col min="13" max="13" width="10" customWidth="1"/>
  </cols>
  <sheetData>
    <row r="1" spans="1:13" ht="21.75" customHeight="1" x14ac:dyDescent="0.25">
      <c r="A1" s="2" t="s">
        <v>506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.75" customHeight="1" x14ac:dyDescent="0.25">
      <c r="A2" s="1" t="s">
        <v>507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5.5" x14ac:dyDescent="0.25">
      <c r="A3" s="42" t="s">
        <v>121</v>
      </c>
      <c r="B3" s="42" t="s">
        <v>131</v>
      </c>
      <c r="C3" s="42" t="s">
        <v>130</v>
      </c>
      <c r="D3" s="42" t="s">
        <v>204</v>
      </c>
      <c r="E3" s="42" t="s">
        <v>123</v>
      </c>
      <c r="F3" s="42" t="s">
        <v>508</v>
      </c>
      <c r="G3" s="42" t="s">
        <v>509</v>
      </c>
      <c r="H3" s="42" t="s">
        <v>304</v>
      </c>
      <c r="I3" s="42" t="s">
        <v>134</v>
      </c>
      <c r="J3" s="42" t="s">
        <v>135</v>
      </c>
      <c r="K3" s="42" t="s">
        <v>136</v>
      </c>
      <c r="L3" s="42" t="s">
        <v>137</v>
      </c>
      <c r="M3" s="42" t="s">
        <v>196</v>
      </c>
    </row>
    <row r="4" spans="1:13" x14ac:dyDescent="0.25">
      <c r="A4" s="51">
        <v>2026</v>
      </c>
      <c r="B4" s="52" t="s">
        <v>500</v>
      </c>
      <c r="C4" s="52" t="s">
        <v>198</v>
      </c>
      <c r="D4" s="52">
        <v>26586</v>
      </c>
      <c r="E4" s="52">
        <v>15439</v>
      </c>
      <c r="F4" s="52">
        <v>10944</v>
      </c>
      <c r="G4" s="52">
        <v>99.24</v>
      </c>
      <c r="H4" s="52">
        <v>4910</v>
      </c>
      <c r="I4" s="52">
        <v>5527</v>
      </c>
      <c r="J4" s="52">
        <v>4029</v>
      </c>
      <c r="K4" s="52">
        <v>952</v>
      </c>
      <c r="L4" s="52">
        <v>21</v>
      </c>
      <c r="M4" s="52">
        <v>203</v>
      </c>
    </row>
    <row r="5" spans="1:13" x14ac:dyDescent="0.25">
      <c r="A5" s="51">
        <v>2026</v>
      </c>
      <c r="B5" s="52" t="s">
        <v>500</v>
      </c>
      <c r="C5" s="52" t="s">
        <v>199</v>
      </c>
      <c r="D5" s="52">
        <v>7505</v>
      </c>
      <c r="E5" s="52">
        <v>1968</v>
      </c>
      <c r="F5" s="52">
        <v>5472</v>
      </c>
      <c r="G5" s="52">
        <v>99.13</v>
      </c>
      <c r="H5" s="52">
        <v>67</v>
      </c>
      <c r="I5" s="52">
        <v>468</v>
      </c>
      <c r="J5" s="52">
        <v>885</v>
      </c>
      <c r="K5" s="52">
        <v>511</v>
      </c>
      <c r="L5" s="52">
        <v>37</v>
      </c>
      <c r="M5" s="52">
        <v>65</v>
      </c>
    </row>
    <row r="6" spans="1:13" x14ac:dyDescent="0.25">
      <c r="A6" s="51">
        <v>2026</v>
      </c>
      <c r="B6" s="52" t="s">
        <v>501</v>
      </c>
      <c r="C6" s="52" t="s">
        <v>198</v>
      </c>
      <c r="D6" s="52">
        <v>54702</v>
      </c>
      <c r="E6" s="52">
        <v>20727</v>
      </c>
      <c r="F6" s="52">
        <v>33520</v>
      </c>
      <c r="G6" s="52">
        <v>99.17</v>
      </c>
      <c r="H6" s="52">
        <v>3814</v>
      </c>
      <c r="I6" s="52">
        <v>6693</v>
      </c>
      <c r="J6" s="52">
        <v>6935</v>
      </c>
      <c r="K6" s="52">
        <v>3062</v>
      </c>
      <c r="L6" s="52">
        <v>223</v>
      </c>
      <c r="M6" s="52">
        <v>455</v>
      </c>
    </row>
    <row r="7" spans="1:13" x14ac:dyDescent="0.25">
      <c r="A7" s="51">
        <v>2026</v>
      </c>
      <c r="B7" s="52" t="s">
        <v>501</v>
      </c>
      <c r="C7" s="52" t="s">
        <v>199</v>
      </c>
      <c r="D7" s="52">
        <v>3944</v>
      </c>
      <c r="E7" s="52">
        <v>431</v>
      </c>
      <c r="F7" s="52">
        <v>3491</v>
      </c>
      <c r="G7" s="52">
        <v>99.44</v>
      </c>
      <c r="H7" s="52">
        <v>18</v>
      </c>
      <c r="I7" s="52">
        <v>76</v>
      </c>
      <c r="J7" s="52">
        <v>127</v>
      </c>
      <c r="K7" s="52">
        <v>182</v>
      </c>
      <c r="L7" s="52">
        <v>28</v>
      </c>
      <c r="M7" s="52">
        <v>22</v>
      </c>
    </row>
    <row r="8" spans="1:13" x14ac:dyDescent="0.25">
      <c r="A8" s="51">
        <v>2026</v>
      </c>
      <c r="B8" s="52" t="s">
        <v>502</v>
      </c>
      <c r="C8" s="52" t="s">
        <v>199</v>
      </c>
      <c r="D8" s="52">
        <v>1108</v>
      </c>
      <c r="E8" s="52">
        <v>201</v>
      </c>
      <c r="F8" s="52">
        <v>844</v>
      </c>
      <c r="G8" s="52">
        <v>94.31</v>
      </c>
      <c r="H8" s="52">
        <v>12</v>
      </c>
      <c r="I8" s="52">
        <v>84</v>
      </c>
      <c r="J8" s="52">
        <v>79</v>
      </c>
      <c r="K8" s="52">
        <v>25</v>
      </c>
      <c r="L8" s="52">
        <v>1</v>
      </c>
      <c r="M8" s="52">
        <v>63</v>
      </c>
    </row>
    <row r="9" spans="1:13" x14ac:dyDescent="0.25">
      <c r="A9" s="51">
        <v>2026</v>
      </c>
      <c r="B9" s="52" t="s">
        <v>503</v>
      </c>
      <c r="C9" s="52" t="s">
        <v>199</v>
      </c>
      <c r="D9" s="52">
        <v>4105</v>
      </c>
      <c r="E9" s="52">
        <v>337</v>
      </c>
      <c r="F9" s="52">
        <v>3576</v>
      </c>
      <c r="G9" s="52">
        <v>95.32</v>
      </c>
      <c r="H9" s="52">
        <v>6</v>
      </c>
      <c r="I9" s="52">
        <v>60</v>
      </c>
      <c r="J9" s="52">
        <v>139</v>
      </c>
      <c r="K9" s="52">
        <v>109</v>
      </c>
      <c r="L9" s="52">
        <v>23</v>
      </c>
      <c r="M9" s="52">
        <v>192</v>
      </c>
    </row>
    <row r="10" spans="1:13" x14ac:dyDescent="0.25">
      <c r="A10" s="47">
        <v>2025</v>
      </c>
      <c r="B10" s="48" t="s">
        <v>500</v>
      </c>
      <c r="C10" s="48" t="s">
        <v>198</v>
      </c>
      <c r="D10" s="48">
        <v>25930</v>
      </c>
      <c r="E10" s="48">
        <v>19853</v>
      </c>
      <c r="F10" s="48">
        <v>5857</v>
      </c>
      <c r="G10" s="48">
        <v>99.2</v>
      </c>
      <c r="H10" s="48">
        <v>10190</v>
      </c>
      <c r="I10" s="48">
        <v>6208</v>
      </c>
      <c r="J10" s="48">
        <v>2943</v>
      </c>
      <c r="K10" s="48">
        <v>503</v>
      </c>
      <c r="L10" s="48">
        <v>9</v>
      </c>
      <c r="M10" s="48">
        <v>220</v>
      </c>
    </row>
    <row r="11" spans="1:13" x14ac:dyDescent="0.25">
      <c r="A11" s="47">
        <v>2025</v>
      </c>
      <c r="B11" s="48" t="s">
        <v>500</v>
      </c>
      <c r="C11" s="48" t="s">
        <v>199</v>
      </c>
      <c r="D11" s="48">
        <v>7917</v>
      </c>
      <c r="E11" s="48">
        <v>4862</v>
      </c>
      <c r="F11" s="48">
        <v>2988</v>
      </c>
      <c r="G11" s="48">
        <v>99.2</v>
      </c>
      <c r="H11" s="48">
        <v>419</v>
      </c>
      <c r="I11" s="48">
        <v>1638</v>
      </c>
      <c r="J11" s="48">
        <v>2136</v>
      </c>
      <c r="K11" s="48">
        <v>646</v>
      </c>
      <c r="L11" s="48">
        <v>23</v>
      </c>
      <c r="M11" s="48">
        <v>67</v>
      </c>
    </row>
    <row r="12" spans="1:13" x14ac:dyDescent="0.25">
      <c r="A12" s="47">
        <v>2025</v>
      </c>
      <c r="B12" s="48" t="s">
        <v>501</v>
      </c>
      <c r="C12" s="48" t="s">
        <v>198</v>
      </c>
      <c r="D12" s="48">
        <v>57381</v>
      </c>
      <c r="E12" s="48">
        <v>34591</v>
      </c>
      <c r="F12" s="48">
        <v>22249</v>
      </c>
      <c r="G12" s="48">
        <v>99.1</v>
      </c>
      <c r="H12" s="48">
        <v>10386</v>
      </c>
      <c r="I12" s="48">
        <v>11627</v>
      </c>
      <c r="J12" s="48">
        <v>9355</v>
      </c>
      <c r="K12" s="48">
        <v>3088</v>
      </c>
      <c r="L12" s="48">
        <v>135</v>
      </c>
      <c r="M12" s="48">
        <v>541</v>
      </c>
    </row>
    <row r="13" spans="1:13" x14ac:dyDescent="0.25">
      <c r="A13" s="47">
        <v>2025</v>
      </c>
      <c r="B13" s="48" t="s">
        <v>501</v>
      </c>
      <c r="C13" s="48" t="s">
        <v>199</v>
      </c>
      <c r="D13" s="48">
        <v>5085</v>
      </c>
      <c r="E13" s="48">
        <v>1281</v>
      </c>
      <c r="F13" s="48">
        <v>3758</v>
      </c>
      <c r="G13" s="48">
        <v>99.1</v>
      </c>
      <c r="H13" s="48">
        <v>44</v>
      </c>
      <c r="I13" s="48">
        <v>132</v>
      </c>
      <c r="J13" s="48">
        <v>492</v>
      </c>
      <c r="K13" s="48">
        <v>566</v>
      </c>
      <c r="L13" s="48">
        <v>47</v>
      </c>
      <c r="M13" s="48">
        <v>46</v>
      </c>
    </row>
    <row r="14" spans="1:13" x14ac:dyDescent="0.25">
      <c r="A14" s="47">
        <v>2025</v>
      </c>
      <c r="B14" s="48" t="s">
        <v>502</v>
      </c>
      <c r="C14" s="48" t="s">
        <v>199</v>
      </c>
      <c r="D14" s="48">
        <v>1170</v>
      </c>
      <c r="E14" s="48">
        <v>354</v>
      </c>
      <c r="F14" s="48">
        <v>755</v>
      </c>
      <c r="G14" s="48">
        <v>94.8</v>
      </c>
      <c r="H14" s="48">
        <v>31</v>
      </c>
      <c r="I14" s="48">
        <v>107</v>
      </c>
      <c r="J14" s="48">
        <v>150</v>
      </c>
      <c r="K14" s="48">
        <v>61</v>
      </c>
      <c r="L14" s="48">
        <v>5</v>
      </c>
      <c r="M14" s="48">
        <v>61</v>
      </c>
    </row>
    <row r="15" spans="1:13" x14ac:dyDescent="0.25">
      <c r="A15" s="47">
        <v>2025</v>
      </c>
      <c r="B15" s="48" t="s">
        <v>503</v>
      </c>
      <c r="C15" s="48" t="s">
        <v>199</v>
      </c>
      <c r="D15" s="48">
        <v>4405</v>
      </c>
      <c r="E15" s="48">
        <v>812</v>
      </c>
      <c r="F15" s="48">
        <v>3300</v>
      </c>
      <c r="G15" s="48">
        <v>93.3</v>
      </c>
      <c r="H15" s="48">
        <v>36</v>
      </c>
      <c r="I15" s="48">
        <v>148</v>
      </c>
      <c r="J15" s="48">
        <v>263</v>
      </c>
      <c r="K15" s="48">
        <v>319</v>
      </c>
      <c r="L15" s="48">
        <v>46</v>
      </c>
      <c r="M15" s="48">
        <v>293</v>
      </c>
    </row>
  </sheetData>
  <autoFilter ref="A3:M15" xr:uid="{00000000-0009-0000-0000-000024000000}"/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1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6" customWidth="1"/>
    <col min="3" max="3" width="14" customWidth="1"/>
    <col min="4" max="4" width="10" customWidth="1"/>
    <col min="5" max="5" width="11" customWidth="1"/>
    <col min="6" max="6" width="14" customWidth="1"/>
    <col min="7" max="11" width="8" customWidth="1"/>
    <col min="12" max="12" width="10" customWidth="1"/>
  </cols>
  <sheetData>
    <row r="1" spans="1:12" ht="21.75" customHeight="1" x14ac:dyDescent="0.25">
      <c r="A1" s="2" t="s">
        <v>510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ht="25.5" x14ac:dyDescent="0.25">
      <c r="A3" s="42" t="s">
        <v>121</v>
      </c>
      <c r="B3" s="42" t="s">
        <v>131</v>
      </c>
      <c r="C3" s="42" t="s">
        <v>204</v>
      </c>
      <c r="D3" s="42" t="s">
        <v>123</v>
      </c>
      <c r="E3" s="42" t="s">
        <v>508</v>
      </c>
      <c r="F3" s="42" t="s">
        <v>509</v>
      </c>
      <c r="G3" s="42" t="s">
        <v>304</v>
      </c>
      <c r="H3" s="42" t="s">
        <v>134</v>
      </c>
      <c r="I3" s="42" t="s">
        <v>135</v>
      </c>
      <c r="J3" s="42" t="s">
        <v>136</v>
      </c>
      <c r="K3" s="42" t="s">
        <v>137</v>
      </c>
      <c r="L3" s="42" t="s">
        <v>196</v>
      </c>
    </row>
    <row r="4" spans="1:12" x14ac:dyDescent="0.25">
      <c r="A4" s="51">
        <v>2026</v>
      </c>
      <c r="B4" s="52" t="s">
        <v>501</v>
      </c>
      <c r="C4" s="52">
        <v>58646</v>
      </c>
      <c r="D4" s="52">
        <v>21158</v>
      </c>
      <c r="E4" s="52">
        <v>37011</v>
      </c>
      <c r="F4" s="52">
        <v>99.19</v>
      </c>
      <c r="G4" s="52">
        <v>3832</v>
      </c>
      <c r="H4" s="52">
        <v>6769</v>
      </c>
      <c r="I4" s="52">
        <v>7062</v>
      </c>
      <c r="J4" s="52">
        <v>3244</v>
      </c>
      <c r="K4" s="52">
        <v>251</v>
      </c>
      <c r="L4" s="52">
        <v>477</v>
      </c>
    </row>
    <row r="5" spans="1:12" x14ac:dyDescent="0.25">
      <c r="A5" s="51">
        <v>2026</v>
      </c>
      <c r="B5" s="52" t="s">
        <v>500</v>
      </c>
      <c r="C5" s="52">
        <v>34091</v>
      </c>
      <c r="D5" s="52">
        <v>17407</v>
      </c>
      <c r="E5" s="52">
        <v>16416</v>
      </c>
      <c r="F5" s="52">
        <v>99.21</v>
      </c>
      <c r="G5" s="52">
        <v>4977</v>
      </c>
      <c r="H5" s="52">
        <v>5995</v>
      </c>
      <c r="I5" s="52">
        <v>4914</v>
      </c>
      <c r="J5" s="52">
        <v>1463</v>
      </c>
      <c r="K5" s="52">
        <v>58</v>
      </c>
      <c r="L5" s="52">
        <v>268</v>
      </c>
    </row>
    <row r="6" spans="1:12" x14ac:dyDescent="0.25">
      <c r="A6" s="51">
        <v>2026</v>
      </c>
      <c r="B6" s="52" t="s">
        <v>503</v>
      </c>
      <c r="C6" s="52">
        <v>4105</v>
      </c>
      <c r="D6" s="52">
        <v>337</v>
      </c>
      <c r="E6" s="52">
        <v>3576</v>
      </c>
      <c r="F6" s="52">
        <v>95.32</v>
      </c>
      <c r="G6" s="52">
        <v>6</v>
      </c>
      <c r="H6" s="52">
        <v>60</v>
      </c>
      <c r="I6" s="52">
        <v>139</v>
      </c>
      <c r="J6" s="52">
        <v>109</v>
      </c>
      <c r="K6" s="52">
        <v>23</v>
      </c>
      <c r="L6" s="52">
        <v>192</v>
      </c>
    </row>
    <row r="7" spans="1:12" x14ac:dyDescent="0.25">
      <c r="A7" s="51">
        <v>2026</v>
      </c>
      <c r="B7" s="52" t="s">
        <v>502</v>
      </c>
      <c r="C7" s="52">
        <v>1108</v>
      </c>
      <c r="D7" s="52">
        <v>201</v>
      </c>
      <c r="E7" s="52">
        <v>844</v>
      </c>
      <c r="F7" s="52">
        <v>94.31</v>
      </c>
      <c r="G7" s="52">
        <v>12</v>
      </c>
      <c r="H7" s="52">
        <v>84</v>
      </c>
      <c r="I7" s="52">
        <v>79</v>
      </c>
      <c r="J7" s="52">
        <v>25</v>
      </c>
      <c r="K7" s="52">
        <v>1</v>
      </c>
      <c r="L7" s="52">
        <v>63</v>
      </c>
    </row>
    <row r="8" spans="1:12" x14ac:dyDescent="0.25">
      <c r="A8" s="51">
        <v>2026</v>
      </c>
      <c r="B8" s="52" t="s">
        <v>144</v>
      </c>
      <c r="C8" s="52">
        <v>97950</v>
      </c>
      <c r="D8" s="52">
        <v>39103</v>
      </c>
      <c r="E8" s="52">
        <v>57847</v>
      </c>
      <c r="F8" s="52">
        <v>98.98</v>
      </c>
      <c r="G8" s="52">
        <v>8827</v>
      </c>
      <c r="H8" s="52">
        <v>12908</v>
      </c>
      <c r="I8" s="52">
        <v>12194</v>
      </c>
      <c r="J8" s="52">
        <v>4841</v>
      </c>
      <c r="K8" s="52">
        <v>333</v>
      </c>
      <c r="L8" s="52">
        <v>1000</v>
      </c>
    </row>
    <row r="9" spans="1:12" x14ac:dyDescent="0.25">
      <c r="A9" s="47">
        <v>2025</v>
      </c>
      <c r="B9" s="48" t="s">
        <v>501</v>
      </c>
      <c r="C9" s="48">
        <v>62466</v>
      </c>
      <c r="D9" s="48">
        <v>35872</v>
      </c>
      <c r="E9" s="48">
        <v>26007</v>
      </c>
      <c r="F9" s="48">
        <v>99.1</v>
      </c>
      <c r="G9" s="48">
        <v>10430</v>
      </c>
      <c r="H9" s="48">
        <v>11759</v>
      </c>
      <c r="I9" s="48">
        <v>9847</v>
      </c>
      <c r="J9" s="48">
        <v>3654</v>
      </c>
      <c r="K9" s="48">
        <v>182</v>
      </c>
      <c r="L9" s="48">
        <v>587</v>
      </c>
    </row>
    <row r="10" spans="1:12" x14ac:dyDescent="0.25">
      <c r="A10" s="47">
        <v>2025</v>
      </c>
      <c r="B10" s="48" t="s">
        <v>500</v>
      </c>
      <c r="C10" s="48">
        <v>33847</v>
      </c>
      <c r="D10" s="48">
        <v>24715</v>
      </c>
      <c r="E10" s="48">
        <v>8845</v>
      </c>
      <c r="F10" s="48">
        <v>99.2</v>
      </c>
      <c r="G10" s="48">
        <v>10609</v>
      </c>
      <c r="H10" s="48">
        <v>7846</v>
      </c>
      <c r="I10" s="48">
        <v>5079</v>
      </c>
      <c r="J10" s="48">
        <v>1149</v>
      </c>
      <c r="K10" s="48">
        <v>32</v>
      </c>
      <c r="L10" s="48">
        <v>287</v>
      </c>
    </row>
    <row r="11" spans="1:12" x14ac:dyDescent="0.25">
      <c r="A11" s="47">
        <v>2025</v>
      </c>
      <c r="B11" s="48" t="s">
        <v>503</v>
      </c>
      <c r="C11" s="48">
        <v>4405</v>
      </c>
      <c r="D11" s="48">
        <v>812</v>
      </c>
      <c r="E11" s="48">
        <v>3300</v>
      </c>
      <c r="F11" s="48">
        <v>93.3</v>
      </c>
      <c r="G11" s="48">
        <v>36</v>
      </c>
      <c r="H11" s="48">
        <v>148</v>
      </c>
      <c r="I11" s="48">
        <v>263</v>
      </c>
      <c r="J11" s="48">
        <v>319</v>
      </c>
      <c r="K11" s="48">
        <v>46</v>
      </c>
      <c r="L11" s="48">
        <v>293</v>
      </c>
    </row>
    <row r="12" spans="1:12" x14ac:dyDescent="0.25">
      <c r="A12" s="47">
        <v>2025</v>
      </c>
      <c r="B12" s="48" t="s">
        <v>502</v>
      </c>
      <c r="C12" s="48">
        <v>1170</v>
      </c>
      <c r="D12" s="48">
        <v>354</v>
      </c>
      <c r="E12" s="48">
        <v>755</v>
      </c>
      <c r="F12" s="48">
        <v>94.8</v>
      </c>
      <c r="G12" s="48">
        <v>31</v>
      </c>
      <c r="H12" s="48">
        <v>107</v>
      </c>
      <c r="I12" s="48">
        <v>150</v>
      </c>
      <c r="J12" s="48">
        <v>61</v>
      </c>
      <c r="K12" s="48">
        <v>5</v>
      </c>
      <c r="L12" s="48">
        <v>61</v>
      </c>
    </row>
    <row r="13" spans="1:12" x14ac:dyDescent="0.25">
      <c r="A13" s="47">
        <v>2025</v>
      </c>
      <c r="B13" s="48" t="s">
        <v>144</v>
      </c>
      <c r="C13" s="48">
        <v>101888</v>
      </c>
      <c r="D13" s="48">
        <v>61753</v>
      </c>
      <c r="E13" s="48">
        <v>38907</v>
      </c>
      <c r="F13" s="48">
        <v>98.8</v>
      </c>
      <c r="G13" s="48">
        <v>21106</v>
      </c>
      <c r="H13" s="48">
        <v>19860</v>
      </c>
      <c r="I13" s="48">
        <v>15339</v>
      </c>
      <c r="J13" s="48">
        <v>5183</v>
      </c>
      <c r="K13" s="48">
        <v>265</v>
      </c>
      <c r="L13" s="48">
        <v>1228</v>
      </c>
    </row>
  </sheetData>
  <autoFilter ref="A3:L13" xr:uid="{00000000-0009-0000-0000-000025000000}"/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57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2" width="7" customWidth="1"/>
    <col min="3" max="4" width="12" customWidth="1"/>
    <col min="5" max="5" width="10" customWidth="1"/>
  </cols>
  <sheetData>
    <row r="1" spans="1:5" ht="21.75" customHeight="1" x14ac:dyDescent="0.25">
      <c r="A1" s="2" t="s">
        <v>511</v>
      </c>
      <c r="B1" s="2"/>
      <c r="C1" s="2"/>
      <c r="D1" s="2"/>
      <c r="E1" s="2"/>
    </row>
    <row r="3" spans="1:5" x14ac:dyDescent="0.25">
      <c r="A3" s="42" t="s">
        <v>145</v>
      </c>
      <c r="B3" s="42" t="s">
        <v>121</v>
      </c>
      <c r="C3" s="42" t="s">
        <v>122</v>
      </c>
      <c r="D3" s="42" t="s">
        <v>123</v>
      </c>
      <c r="E3" s="42" t="s">
        <v>132</v>
      </c>
    </row>
    <row r="4" spans="1:5" x14ac:dyDescent="0.25">
      <c r="A4" s="51" t="s">
        <v>147</v>
      </c>
      <c r="B4" s="52">
        <v>2026</v>
      </c>
      <c r="C4" s="52">
        <v>739</v>
      </c>
      <c r="D4" s="52">
        <v>686</v>
      </c>
      <c r="E4" s="52">
        <v>92.83</v>
      </c>
    </row>
    <row r="5" spans="1:5" x14ac:dyDescent="0.25">
      <c r="A5" s="47" t="s">
        <v>147</v>
      </c>
      <c r="B5" s="48">
        <v>2025</v>
      </c>
      <c r="C5" s="48">
        <v>860</v>
      </c>
      <c r="D5" s="48">
        <v>805</v>
      </c>
      <c r="E5" s="48">
        <v>93.6</v>
      </c>
    </row>
    <row r="6" spans="1:5" x14ac:dyDescent="0.25">
      <c r="A6" s="51" t="s">
        <v>149</v>
      </c>
      <c r="B6" s="52">
        <v>2026</v>
      </c>
      <c r="C6" s="52">
        <v>5324</v>
      </c>
      <c r="D6" s="52">
        <v>4948</v>
      </c>
      <c r="E6" s="52">
        <v>92.94</v>
      </c>
    </row>
    <row r="7" spans="1:5" x14ac:dyDescent="0.25">
      <c r="A7" s="47" t="s">
        <v>149</v>
      </c>
      <c r="B7" s="48">
        <v>2025</v>
      </c>
      <c r="C7" s="48">
        <v>6444</v>
      </c>
      <c r="D7" s="48">
        <v>6044</v>
      </c>
      <c r="E7" s="48">
        <v>93.79</v>
      </c>
    </row>
    <row r="8" spans="1:5" x14ac:dyDescent="0.25">
      <c r="A8" s="51" t="s">
        <v>151</v>
      </c>
      <c r="B8" s="52">
        <v>2026</v>
      </c>
      <c r="C8" s="52">
        <v>77672</v>
      </c>
      <c r="D8" s="52">
        <v>56581</v>
      </c>
      <c r="E8" s="52">
        <v>72.849999999999994</v>
      </c>
    </row>
    <row r="9" spans="1:5" x14ac:dyDescent="0.25">
      <c r="A9" s="47" t="s">
        <v>151</v>
      </c>
      <c r="B9" s="48">
        <v>2025</v>
      </c>
      <c r="C9" s="48">
        <v>79944</v>
      </c>
      <c r="D9" s="48">
        <v>69527</v>
      </c>
      <c r="E9" s="48">
        <v>86.97</v>
      </c>
    </row>
    <row r="10" spans="1:5" x14ac:dyDescent="0.25">
      <c r="A10" s="51" t="s">
        <v>153</v>
      </c>
      <c r="B10" s="52">
        <v>2026</v>
      </c>
      <c r="C10" s="52">
        <v>81281</v>
      </c>
      <c r="D10" s="52">
        <v>59268</v>
      </c>
      <c r="E10" s="52">
        <v>72.92</v>
      </c>
    </row>
    <row r="11" spans="1:5" x14ac:dyDescent="0.25">
      <c r="A11" s="47" t="s">
        <v>153</v>
      </c>
      <c r="B11" s="48">
        <v>2025</v>
      </c>
      <c r="C11" s="48">
        <v>83312</v>
      </c>
      <c r="D11" s="48">
        <v>67062</v>
      </c>
      <c r="E11" s="48">
        <v>80.5</v>
      </c>
    </row>
    <row r="12" spans="1:5" x14ac:dyDescent="0.25">
      <c r="A12" s="51" t="s">
        <v>155</v>
      </c>
      <c r="B12" s="52">
        <v>2026</v>
      </c>
      <c r="C12" s="52">
        <v>1679</v>
      </c>
      <c r="D12" s="52">
        <v>1419</v>
      </c>
      <c r="E12" s="52">
        <v>84.51</v>
      </c>
    </row>
    <row r="13" spans="1:5" x14ac:dyDescent="0.25">
      <c r="A13" s="47" t="s">
        <v>155</v>
      </c>
      <c r="B13" s="48">
        <v>2025</v>
      </c>
      <c r="C13" s="48">
        <v>1984</v>
      </c>
      <c r="D13" s="48">
        <v>1610</v>
      </c>
      <c r="E13" s="48">
        <v>81.150000000000006</v>
      </c>
    </row>
    <row r="14" spans="1:5" x14ac:dyDescent="0.25">
      <c r="A14" s="51" t="s">
        <v>157</v>
      </c>
      <c r="B14" s="52">
        <v>2026</v>
      </c>
      <c r="C14" s="52">
        <v>4331</v>
      </c>
      <c r="D14" s="52">
        <v>3134</v>
      </c>
      <c r="E14" s="52">
        <v>72.36</v>
      </c>
    </row>
    <row r="15" spans="1:5" x14ac:dyDescent="0.25">
      <c r="A15" s="47" t="s">
        <v>157</v>
      </c>
      <c r="B15" s="48">
        <v>2025</v>
      </c>
      <c r="C15" s="48">
        <v>4041</v>
      </c>
      <c r="D15" s="48">
        <v>3375</v>
      </c>
      <c r="E15" s="48">
        <v>83.52</v>
      </c>
    </row>
    <row r="16" spans="1:5" x14ac:dyDescent="0.25">
      <c r="A16" s="51" t="s">
        <v>159</v>
      </c>
      <c r="B16" s="52">
        <v>2026</v>
      </c>
      <c r="C16" s="52">
        <v>5130</v>
      </c>
      <c r="D16" s="52">
        <v>5007</v>
      </c>
      <c r="E16" s="52">
        <v>97.6</v>
      </c>
    </row>
    <row r="17" spans="1:5" x14ac:dyDescent="0.25">
      <c r="A17" s="47" t="s">
        <v>159</v>
      </c>
      <c r="B17" s="48">
        <v>2025</v>
      </c>
      <c r="C17" s="48">
        <v>5000</v>
      </c>
      <c r="D17" s="48">
        <v>4752</v>
      </c>
      <c r="E17" s="48">
        <v>95.04</v>
      </c>
    </row>
    <row r="18" spans="1:5" x14ac:dyDescent="0.25">
      <c r="A18" s="51" t="s">
        <v>161</v>
      </c>
      <c r="B18" s="52">
        <v>2026</v>
      </c>
      <c r="C18" s="52">
        <v>54</v>
      </c>
      <c r="D18" s="52">
        <v>27</v>
      </c>
      <c r="E18" s="52">
        <v>50</v>
      </c>
    </row>
    <row r="19" spans="1:5" x14ac:dyDescent="0.25">
      <c r="A19" s="47" t="s">
        <v>161</v>
      </c>
      <c r="B19" s="48">
        <v>2025</v>
      </c>
      <c r="C19" s="48">
        <v>14</v>
      </c>
      <c r="D19" s="48">
        <v>3</v>
      </c>
      <c r="E19" s="48">
        <v>21.43</v>
      </c>
    </row>
    <row r="20" spans="1:5" x14ac:dyDescent="0.25">
      <c r="A20" s="51" t="s">
        <v>335</v>
      </c>
      <c r="B20" s="52">
        <v>2026</v>
      </c>
      <c r="C20" s="52">
        <v>82</v>
      </c>
      <c r="D20" s="52">
        <v>51</v>
      </c>
      <c r="E20" s="52">
        <v>62.2</v>
      </c>
    </row>
    <row r="21" spans="1:5" x14ac:dyDescent="0.25">
      <c r="A21" s="47" t="s">
        <v>335</v>
      </c>
      <c r="B21" s="48">
        <v>2025</v>
      </c>
      <c r="C21" s="48">
        <v>80</v>
      </c>
      <c r="D21" s="48">
        <v>22</v>
      </c>
      <c r="E21" s="48">
        <v>27.5</v>
      </c>
    </row>
    <row r="22" spans="1:5" x14ac:dyDescent="0.25">
      <c r="A22" s="51" t="s">
        <v>163</v>
      </c>
      <c r="B22" s="52">
        <v>2026</v>
      </c>
      <c r="C22" s="52">
        <v>97950</v>
      </c>
      <c r="D22" s="52">
        <v>86786</v>
      </c>
      <c r="E22" s="52">
        <v>88.6</v>
      </c>
    </row>
    <row r="23" spans="1:5" x14ac:dyDescent="0.25">
      <c r="A23" s="47" t="s">
        <v>163</v>
      </c>
      <c r="B23" s="48">
        <v>2025</v>
      </c>
      <c r="C23" s="48">
        <v>101888</v>
      </c>
      <c r="D23" s="48">
        <v>90892</v>
      </c>
      <c r="E23" s="48">
        <v>89.21</v>
      </c>
    </row>
    <row r="24" spans="1:5" x14ac:dyDescent="0.25">
      <c r="A24" s="51" t="s">
        <v>340</v>
      </c>
      <c r="B24" s="52">
        <v>2026</v>
      </c>
      <c r="C24" s="52">
        <v>15</v>
      </c>
      <c r="D24" s="52">
        <v>10</v>
      </c>
      <c r="E24" s="52">
        <v>66.67</v>
      </c>
    </row>
    <row r="25" spans="1:5" x14ac:dyDescent="0.25">
      <c r="A25" s="51" t="s">
        <v>512</v>
      </c>
      <c r="B25" s="52">
        <v>2026</v>
      </c>
      <c r="C25" s="52">
        <v>414</v>
      </c>
      <c r="D25" s="52">
        <v>393</v>
      </c>
      <c r="E25" s="52">
        <v>94.93</v>
      </c>
    </row>
    <row r="26" spans="1:5" x14ac:dyDescent="0.25">
      <c r="A26" s="47" t="s">
        <v>512</v>
      </c>
      <c r="B26" s="48">
        <v>2025</v>
      </c>
      <c r="C26" s="48">
        <v>395</v>
      </c>
      <c r="D26" s="48">
        <v>356</v>
      </c>
      <c r="E26" s="48">
        <v>90.13</v>
      </c>
    </row>
    <row r="27" spans="1:5" x14ac:dyDescent="0.25">
      <c r="A27" s="51" t="s">
        <v>513</v>
      </c>
      <c r="B27" s="52">
        <v>2026</v>
      </c>
      <c r="C27" s="52">
        <v>16668</v>
      </c>
      <c r="D27" s="52">
        <v>7246</v>
      </c>
      <c r="E27" s="52">
        <v>43.47</v>
      </c>
    </row>
    <row r="28" spans="1:5" x14ac:dyDescent="0.25">
      <c r="A28" s="47" t="s">
        <v>513</v>
      </c>
      <c r="B28" s="48">
        <v>2025</v>
      </c>
      <c r="C28" s="48">
        <v>18576</v>
      </c>
      <c r="D28" s="48">
        <v>11386</v>
      </c>
      <c r="E28" s="48">
        <v>61.29</v>
      </c>
    </row>
    <row r="29" spans="1:5" x14ac:dyDescent="0.25">
      <c r="A29" s="51" t="s">
        <v>169</v>
      </c>
      <c r="B29" s="52">
        <v>2026</v>
      </c>
      <c r="C29" s="52">
        <v>16669</v>
      </c>
      <c r="D29" s="52">
        <v>7673</v>
      </c>
      <c r="E29" s="52">
        <v>46.03</v>
      </c>
    </row>
    <row r="30" spans="1:5" x14ac:dyDescent="0.25">
      <c r="A30" s="47" t="s">
        <v>169</v>
      </c>
      <c r="B30" s="48">
        <v>2025</v>
      </c>
      <c r="C30" s="48">
        <v>18575</v>
      </c>
      <c r="D30" s="48">
        <v>13614</v>
      </c>
      <c r="E30" s="48">
        <v>73.290000000000006</v>
      </c>
    </row>
    <row r="31" spans="1:5" x14ac:dyDescent="0.25">
      <c r="A31" s="51" t="s">
        <v>345</v>
      </c>
      <c r="B31" s="52">
        <v>2026</v>
      </c>
      <c r="C31" s="52">
        <v>16</v>
      </c>
      <c r="D31" s="52">
        <v>12</v>
      </c>
      <c r="E31" s="52">
        <v>75</v>
      </c>
    </row>
    <row r="32" spans="1:5" x14ac:dyDescent="0.25">
      <c r="A32" s="47" t="s">
        <v>345</v>
      </c>
      <c r="B32" s="48">
        <v>2025</v>
      </c>
      <c r="C32" s="48">
        <v>1</v>
      </c>
      <c r="D32" s="48">
        <v>1</v>
      </c>
      <c r="E32" s="48">
        <v>100</v>
      </c>
    </row>
    <row r="33" spans="1:5" x14ac:dyDescent="0.25">
      <c r="A33" s="51" t="s">
        <v>514</v>
      </c>
      <c r="B33" s="52">
        <v>2026</v>
      </c>
      <c r="C33" s="52">
        <v>1670</v>
      </c>
      <c r="D33" s="52">
        <v>1414</v>
      </c>
      <c r="E33" s="52">
        <v>84.67</v>
      </c>
    </row>
    <row r="34" spans="1:5" x14ac:dyDescent="0.25">
      <c r="A34" s="47" t="s">
        <v>514</v>
      </c>
      <c r="B34" s="48">
        <v>2025</v>
      </c>
      <c r="C34" s="48">
        <v>1723</v>
      </c>
      <c r="D34" s="48">
        <v>1369</v>
      </c>
      <c r="E34" s="48">
        <v>79.45</v>
      </c>
    </row>
    <row r="35" spans="1:5" x14ac:dyDescent="0.25">
      <c r="A35" s="51" t="s">
        <v>515</v>
      </c>
      <c r="B35" s="52">
        <v>2026</v>
      </c>
      <c r="C35" s="52">
        <v>29</v>
      </c>
      <c r="D35" s="52">
        <v>25</v>
      </c>
      <c r="E35" s="52">
        <v>86.21</v>
      </c>
    </row>
    <row r="36" spans="1:5" x14ac:dyDescent="0.25">
      <c r="A36" s="47" t="s">
        <v>515</v>
      </c>
      <c r="B36" s="48">
        <v>2025</v>
      </c>
      <c r="C36" s="48">
        <v>14</v>
      </c>
      <c r="D36" s="48">
        <v>13</v>
      </c>
      <c r="E36" s="48">
        <v>92.86</v>
      </c>
    </row>
    <row r="37" spans="1:5" x14ac:dyDescent="0.25">
      <c r="A37" s="51" t="s">
        <v>516</v>
      </c>
      <c r="B37" s="52">
        <v>2026</v>
      </c>
      <c r="C37" s="52">
        <v>14</v>
      </c>
      <c r="D37" s="52">
        <v>6</v>
      </c>
      <c r="E37" s="52">
        <v>42.86</v>
      </c>
    </row>
    <row r="38" spans="1:5" x14ac:dyDescent="0.25">
      <c r="A38" s="51" t="s">
        <v>173</v>
      </c>
      <c r="B38" s="52">
        <v>2026</v>
      </c>
      <c r="C38" s="52">
        <v>821</v>
      </c>
      <c r="D38" s="52">
        <v>413</v>
      </c>
      <c r="E38" s="52">
        <v>50.3</v>
      </c>
    </row>
    <row r="39" spans="1:5" x14ac:dyDescent="0.25">
      <c r="A39" s="47" t="s">
        <v>173</v>
      </c>
      <c r="B39" s="48">
        <v>2025</v>
      </c>
      <c r="C39" s="48">
        <v>874</v>
      </c>
      <c r="D39" s="48">
        <v>424</v>
      </c>
      <c r="E39" s="48">
        <v>48.51</v>
      </c>
    </row>
    <row r="40" spans="1:5" x14ac:dyDescent="0.25">
      <c r="A40" s="51" t="s">
        <v>175</v>
      </c>
      <c r="B40" s="52">
        <v>2026</v>
      </c>
      <c r="C40" s="52">
        <v>13527</v>
      </c>
      <c r="D40" s="52">
        <v>11712</v>
      </c>
      <c r="E40" s="52">
        <v>86.58</v>
      </c>
    </row>
    <row r="41" spans="1:5" x14ac:dyDescent="0.25">
      <c r="A41" s="47" t="s">
        <v>175</v>
      </c>
      <c r="B41" s="48">
        <v>2025</v>
      </c>
      <c r="C41" s="48">
        <v>15274</v>
      </c>
      <c r="D41" s="48">
        <v>14016</v>
      </c>
      <c r="E41" s="48">
        <v>91.76</v>
      </c>
    </row>
    <row r="42" spans="1:5" x14ac:dyDescent="0.25">
      <c r="A42" s="51" t="s">
        <v>420</v>
      </c>
      <c r="B42" s="52">
        <v>2026</v>
      </c>
      <c r="C42" s="52">
        <v>97536</v>
      </c>
      <c r="D42" s="52">
        <v>78555</v>
      </c>
      <c r="E42" s="52">
        <v>80.540000000000006</v>
      </c>
    </row>
    <row r="43" spans="1:5" x14ac:dyDescent="0.25">
      <c r="A43" s="47" t="s">
        <v>420</v>
      </c>
      <c r="B43" s="48">
        <v>2025</v>
      </c>
      <c r="C43" s="48">
        <v>101493</v>
      </c>
      <c r="D43" s="48">
        <v>89030</v>
      </c>
      <c r="E43" s="48">
        <v>87.72</v>
      </c>
    </row>
    <row r="44" spans="1:5" x14ac:dyDescent="0.25">
      <c r="A44" s="51" t="s">
        <v>179</v>
      </c>
      <c r="B44" s="52">
        <v>2026</v>
      </c>
      <c r="C44" s="52">
        <v>81281</v>
      </c>
      <c r="D44" s="52">
        <v>56681</v>
      </c>
      <c r="E44" s="52">
        <v>69.73</v>
      </c>
    </row>
    <row r="45" spans="1:5" x14ac:dyDescent="0.25">
      <c r="A45" s="47" t="s">
        <v>179</v>
      </c>
      <c r="B45" s="48">
        <v>2025</v>
      </c>
      <c r="C45" s="48">
        <v>83312</v>
      </c>
      <c r="D45" s="48">
        <v>71885</v>
      </c>
      <c r="E45" s="48">
        <v>86.28</v>
      </c>
    </row>
    <row r="46" spans="1:5" x14ac:dyDescent="0.25">
      <c r="A46" s="51" t="s">
        <v>517</v>
      </c>
      <c r="B46" s="52">
        <v>2026</v>
      </c>
      <c r="C46" s="52">
        <v>97536</v>
      </c>
      <c r="D46" s="52">
        <v>87017</v>
      </c>
      <c r="E46" s="52">
        <v>89.22</v>
      </c>
    </row>
    <row r="47" spans="1:5" x14ac:dyDescent="0.25">
      <c r="A47" s="47" t="s">
        <v>517</v>
      </c>
      <c r="B47" s="48">
        <v>2025</v>
      </c>
      <c r="C47" s="48">
        <v>101493</v>
      </c>
      <c r="D47" s="48">
        <v>97734</v>
      </c>
      <c r="E47" s="48">
        <v>96.3</v>
      </c>
    </row>
    <row r="48" spans="1:5" x14ac:dyDescent="0.25">
      <c r="A48" s="51" t="s">
        <v>183</v>
      </c>
      <c r="B48" s="52">
        <v>2026</v>
      </c>
      <c r="C48" s="52">
        <v>97950</v>
      </c>
      <c r="D48" s="52">
        <v>77320</v>
      </c>
      <c r="E48" s="52">
        <v>78.94</v>
      </c>
    </row>
    <row r="49" spans="1:5" x14ac:dyDescent="0.25">
      <c r="A49" s="47" t="s">
        <v>183</v>
      </c>
      <c r="B49" s="48">
        <v>2025</v>
      </c>
      <c r="C49" s="48">
        <v>101888</v>
      </c>
      <c r="D49" s="48">
        <v>94599</v>
      </c>
      <c r="E49" s="48">
        <v>92.85</v>
      </c>
    </row>
    <row r="50" spans="1:5" x14ac:dyDescent="0.25">
      <c r="A50" s="51" t="s">
        <v>187</v>
      </c>
      <c r="B50" s="52">
        <v>2026</v>
      </c>
      <c r="C50" s="52">
        <v>3507</v>
      </c>
      <c r="D50" s="52">
        <v>3294</v>
      </c>
      <c r="E50" s="52">
        <v>93.93</v>
      </c>
    </row>
    <row r="51" spans="1:5" x14ac:dyDescent="0.25">
      <c r="A51" s="47" t="s">
        <v>187</v>
      </c>
      <c r="B51" s="48">
        <v>2025</v>
      </c>
      <c r="C51" s="48">
        <v>4225</v>
      </c>
      <c r="D51" s="48">
        <v>3908</v>
      </c>
      <c r="E51" s="48">
        <v>92.5</v>
      </c>
    </row>
    <row r="52" spans="1:5" x14ac:dyDescent="0.25">
      <c r="A52" s="47" t="s">
        <v>352</v>
      </c>
      <c r="B52" s="48">
        <v>2025</v>
      </c>
      <c r="C52" s="48">
        <v>1</v>
      </c>
      <c r="D52" s="48">
        <v>1</v>
      </c>
      <c r="E52" s="48">
        <v>100</v>
      </c>
    </row>
    <row r="53" spans="1:5" x14ac:dyDescent="0.25">
      <c r="A53" s="51" t="s">
        <v>189</v>
      </c>
      <c r="B53" s="52">
        <v>2026</v>
      </c>
      <c r="C53" s="52">
        <v>81281</v>
      </c>
      <c r="D53" s="52">
        <v>61062</v>
      </c>
      <c r="E53" s="52">
        <v>75.12</v>
      </c>
    </row>
    <row r="54" spans="1:5" x14ac:dyDescent="0.25">
      <c r="A54" s="47" t="s">
        <v>189</v>
      </c>
      <c r="B54" s="48">
        <v>2025</v>
      </c>
      <c r="C54" s="48">
        <v>83312</v>
      </c>
      <c r="D54" s="48">
        <v>75385</v>
      </c>
      <c r="E54" s="48">
        <v>90.49</v>
      </c>
    </row>
    <row r="55" spans="1:5" x14ac:dyDescent="0.25">
      <c r="A55" s="51" t="s">
        <v>191</v>
      </c>
      <c r="B55" s="52">
        <v>2026</v>
      </c>
      <c r="C55" s="52">
        <v>97921</v>
      </c>
      <c r="D55" s="52">
        <v>88611</v>
      </c>
      <c r="E55" s="52">
        <v>90.49</v>
      </c>
    </row>
    <row r="56" spans="1:5" x14ac:dyDescent="0.25">
      <c r="A56" s="47" t="s">
        <v>191</v>
      </c>
      <c r="B56" s="48">
        <v>2025</v>
      </c>
      <c r="C56" s="48">
        <v>101874</v>
      </c>
      <c r="D56" s="48">
        <v>98769</v>
      </c>
      <c r="E56" s="48">
        <v>96.95</v>
      </c>
    </row>
    <row r="57" spans="1:5" x14ac:dyDescent="0.25">
      <c r="A57" s="51" t="s">
        <v>193</v>
      </c>
      <c r="B57" s="52">
        <v>2026</v>
      </c>
      <c r="C57" s="52">
        <v>39</v>
      </c>
      <c r="D57" s="52">
        <v>24</v>
      </c>
      <c r="E57" s="52">
        <v>61.54</v>
      </c>
    </row>
  </sheetData>
  <autoFilter ref="A3:E57" xr:uid="{00000000-0009-0000-0000-000026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3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4" customWidth="1"/>
    <col min="3" max="3" width="22" customWidth="1"/>
    <col min="4" max="4" width="10" customWidth="1"/>
    <col min="5" max="5" width="12" customWidth="1"/>
    <col min="6" max="7" width="10" customWidth="1"/>
  </cols>
  <sheetData>
    <row r="1" spans="1:7" ht="21.75" customHeight="1" x14ac:dyDescent="0.25">
      <c r="A1" s="2" t="s">
        <v>518</v>
      </c>
      <c r="B1" s="2"/>
      <c r="C1" s="2"/>
      <c r="D1" s="2"/>
      <c r="E1" s="2"/>
      <c r="F1" s="2"/>
    </row>
    <row r="2" spans="1:7" ht="15.75" customHeight="1" x14ac:dyDescent="0.25">
      <c r="A2" s="1" t="s">
        <v>519</v>
      </c>
      <c r="B2" s="1"/>
      <c r="C2" s="1"/>
      <c r="D2" s="1"/>
      <c r="E2" s="1"/>
      <c r="F2" s="1"/>
    </row>
    <row r="3" spans="1:7" ht="25.5" x14ac:dyDescent="0.25">
      <c r="A3" s="42" t="s">
        <v>121</v>
      </c>
      <c r="B3" s="42" t="s">
        <v>195</v>
      </c>
      <c r="C3" s="42" t="s">
        <v>130</v>
      </c>
      <c r="D3" s="42" t="s">
        <v>122</v>
      </c>
      <c r="E3" s="42" t="s">
        <v>306</v>
      </c>
      <c r="F3" s="42" t="s">
        <v>132</v>
      </c>
    </row>
    <row r="4" spans="1:7" x14ac:dyDescent="0.25">
      <c r="A4" s="51">
        <v>2026</v>
      </c>
      <c r="B4" s="52" t="s">
        <v>244</v>
      </c>
      <c r="C4" s="52" t="s">
        <v>198</v>
      </c>
      <c r="D4" s="52" t="s">
        <v>232</v>
      </c>
      <c r="E4" s="52">
        <v>40886</v>
      </c>
      <c r="F4" s="52">
        <v>13904</v>
      </c>
      <c r="G4" s="52">
        <v>34.01</v>
      </c>
    </row>
    <row r="5" spans="1:7" x14ac:dyDescent="0.25">
      <c r="A5" s="51">
        <v>2026</v>
      </c>
      <c r="B5" s="52" t="s">
        <v>244</v>
      </c>
      <c r="C5" s="52" t="s">
        <v>198</v>
      </c>
      <c r="D5" s="52" t="s">
        <v>233</v>
      </c>
      <c r="E5" s="52">
        <v>35879</v>
      </c>
      <c r="F5" s="52">
        <v>21487</v>
      </c>
      <c r="G5" s="52">
        <v>59.89</v>
      </c>
    </row>
    <row r="6" spans="1:7" x14ac:dyDescent="0.25">
      <c r="A6" s="51">
        <v>2026</v>
      </c>
      <c r="B6" s="52" t="s">
        <v>244</v>
      </c>
      <c r="C6" s="52" t="s">
        <v>198</v>
      </c>
      <c r="D6" s="52" t="s">
        <v>234</v>
      </c>
      <c r="E6" s="52">
        <v>76765</v>
      </c>
      <c r="F6" s="52">
        <v>35391</v>
      </c>
      <c r="G6" s="52">
        <v>46.1</v>
      </c>
    </row>
    <row r="7" spans="1:7" x14ac:dyDescent="0.25">
      <c r="A7" s="51">
        <v>2026</v>
      </c>
      <c r="B7" s="52" t="s">
        <v>244</v>
      </c>
      <c r="C7" s="52" t="s">
        <v>235</v>
      </c>
      <c r="D7" s="52" t="s">
        <v>232</v>
      </c>
      <c r="E7" s="52">
        <v>4869</v>
      </c>
      <c r="F7" s="52">
        <v>512</v>
      </c>
      <c r="G7" s="52">
        <v>10.52</v>
      </c>
    </row>
    <row r="8" spans="1:7" x14ac:dyDescent="0.25">
      <c r="A8" s="51">
        <v>2026</v>
      </c>
      <c r="B8" s="52" t="s">
        <v>244</v>
      </c>
      <c r="C8" s="52" t="s">
        <v>235</v>
      </c>
      <c r="D8" s="52" t="s">
        <v>233</v>
      </c>
      <c r="E8" s="52">
        <v>16845</v>
      </c>
      <c r="F8" s="52">
        <v>4480</v>
      </c>
      <c r="G8" s="52">
        <v>26.6</v>
      </c>
    </row>
    <row r="9" spans="1:7" x14ac:dyDescent="0.25">
      <c r="A9" s="51">
        <v>2026</v>
      </c>
      <c r="B9" s="52" t="s">
        <v>244</v>
      </c>
      <c r="C9" s="52" t="s">
        <v>235</v>
      </c>
      <c r="D9" s="52" t="s">
        <v>234</v>
      </c>
      <c r="E9" s="52">
        <v>21714</v>
      </c>
      <c r="F9" s="52">
        <v>4992</v>
      </c>
      <c r="G9" s="52">
        <v>22.99</v>
      </c>
    </row>
    <row r="10" spans="1:7" x14ac:dyDescent="0.25">
      <c r="A10" s="51">
        <v>2026</v>
      </c>
      <c r="B10" s="52" t="s">
        <v>238</v>
      </c>
      <c r="C10" s="52" t="s">
        <v>198</v>
      </c>
      <c r="D10" s="52" t="s">
        <v>232</v>
      </c>
      <c r="E10" s="52">
        <v>6719</v>
      </c>
      <c r="F10" s="52">
        <v>955</v>
      </c>
      <c r="G10" s="52">
        <v>14.21</v>
      </c>
    </row>
    <row r="11" spans="1:7" x14ac:dyDescent="0.25">
      <c r="A11" s="51">
        <v>2026</v>
      </c>
      <c r="B11" s="52" t="s">
        <v>238</v>
      </c>
      <c r="C11" s="52" t="s">
        <v>198</v>
      </c>
      <c r="D11" s="52" t="s">
        <v>233</v>
      </c>
      <c r="E11" s="52">
        <v>4015</v>
      </c>
      <c r="F11" s="52">
        <v>1247</v>
      </c>
      <c r="G11" s="52">
        <v>31.06</v>
      </c>
    </row>
    <row r="12" spans="1:7" x14ac:dyDescent="0.25">
      <c r="A12" s="51">
        <v>2026</v>
      </c>
      <c r="B12" s="52" t="s">
        <v>238</v>
      </c>
      <c r="C12" s="52" t="s">
        <v>198</v>
      </c>
      <c r="D12" s="52" t="s">
        <v>234</v>
      </c>
      <c r="E12" s="52">
        <v>10734</v>
      </c>
      <c r="F12" s="52">
        <v>2202</v>
      </c>
      <c r="G12" s="52">
        <v>20.51</v>
      </c>
    </row>
    <row r="13" spans="1:7" x14ac:dyDescent="0.25">
      <c r="A13" s="51">
        <v>2026</v>
      </c>
      <c r="B13" s="52" t="s">
        <v>238</v>
      </c>
      <c r="C13" s="52" t="s">
        <v>235</v>
      </c>
      <c r="D13" s="52" t="s">
        <v>232</v>
      </c>
      <c r="E13" s="52">
        <v>3063</v>
      </c>
      <c r="F13" s="52">
        <v>261</v>
      </c>
      <c r="G13" s="52">
        <v>8.52</v>
      </c>
    </row>
    <row r="14" spans="1:7" x14ac:dyDescent="0.25">
      <c r="A14" s="51">
        <v>2026</v>
      </c>
      <c r="B14" s="52" t="s">
        <v>238</v>
      </c>
      <c r="C14" s="52" t="s">
        <v>235</v>
      </c>
      <c r="D14" s="52" t="s">
        <v>233</v>
      </c>
      <c r="E14" s="52">
        <v>2781</v>
      </c>
      <c r="F14" s="52">
        <v>534</v>
      </c>
      <c r="G14" s="52">
        <v>19.2</v>
      </c>
    </row>
    <row r="15" spans="1:7" x14ac:dyDescent="0.25">
      <c r="A15" s="51">
        <v>2026</v>
      </c>
      <c r="B15" s="52" t="s">
        <v>238</v>
      </c>
      <c r="C15" s="52" t="s">
        <v>235</v>
      </c>
      <c r="D15" s="52" t="s">
        <v>234</v>
      </c>
      <c r="E15" s="52">
        <v>5844</v>
      </c>
      <c r="F15" s="52">
        <v>795</v>
      </c>
      <c r="G15" s="52">
        <v>13.6</v>
      </c>
    </row>
    <row r="16" spans="1:7" x14ac:dyDescent="0.25">
      <c r="A16" s="51">
        <v>2026</v>
      </c>
      <c r="B16" s="52" t="s">
        <v>246</v>
      </c>
      <c r="C16" s="52" t="s">
        <v>198</v>
      </c>
      <c r="D16" s="52" t="s">
        <v>232</v>
      </c>
      <c r="E16" s="52">
        <v>47605</v>
      </c>
      <c r="F16" s="52">
        <v>14859</v>
      </c>
      <c r="G16" s="52">
        <v>31.2</v>
      </c>
    </row>
    <row r="17" spans="1:7" x14ac:dyDescent="0.25">
      <c r="A17" s="51">
        <v>2026</v>
      </c>
      <c r="B17" s="52" t="s">
        <v>246</v>
      </c>
      <c r="C17" s="52" t="s">
        <v>198</v>
      </c>
      <c r="D17" s="52" t="s">
        <v>233</v>
      </c>
      <c r="E17" s="52">
        <v>39894</v>
      </c>
      <c r="F17" s="52">
        <v>22734</v>
      </c>
      <c r="G17" s="52">
        <v>57</v>
      </c>
    </row>
    <row r="18" spans="1:7" x14ac:dyDescent="0.25">
      <c r="A18" s="51">
        <v>2026</v>
      </c>
      <c r="B18" s="52" t="s">
        <v>246</v>
      </c>
      <c r="C18" s="52" t="s">
        <v>198</v>
      </c>
      <c r="D18" s="52" t="s">
        <v>234</v>
      </c>
      <c r="E18" s="52">
        <v>87499</v>
      </c>
      <c r="F18" s="52">
        <v>37593</v>
      </c>
      <c r="G18" s="52">
        <v>43</v>
      </c>
    </row>
    <row r="19" spans="1:7" x14ac:dyDescent="0.25">
      <c r="A19" s="51">
        <v>2026</v>
      </c>
      <c r="B19" s="52" t="s">
        <v>246</v>
      </c>
      <c r="C19" s="52" t="s">
        <v>235</v>
      </c>
      <c r="D19" s="52" t="s">
        <v>232</v>
      </c>
      <c r="E19" s="52">
        <v>7932</v>
      </c>
      <c r="F19" s="52">
        <v>773</v>
      </c>
      <c r="G19" s="52">
        <v>9.6999999999999993</v>
      </c>
    </row>
    <row r="20" spans="1:7" x14ac:dyDescent="0.25">
      <c r="A20" s="51">
        <v>2026</v>
      </c>
      <c r="B20" s="52" t="s">
        <v>246</v>
      </c>
      <c r="C20" s="52" t="s">
        <v>235</v>
      </c>
      <c r="D20" s="52" t="s">
        <v>233</v>
      </c>
      <c r="E20" s="52">
        <v>19626</v>
      </c>
      <c r="F20" s="52">
        <v>5014</v>
      </c>
      <c r="G20" s="52">
        <v>25.5</v>
      </c>
    </row>
    <row r="21" spans="1:7" x14ac:dyDescent="0.25">
      <c r="A21" s="51">
        <v>2026</v>
      </c>
      <c r="B21" s="52" t="s">
        <v>246</v>
      </c>
      <c r="C21" s="52" t="s">
        <v>235</v>
      </c>
      <c r="D21" s="52" t="s">
        <v>234</v>
      </c>
      <c r="E21" s="52">
        <v>27558</v>
      </c>
      <c r="F21" s="52">
        <v>5787</v>
      </c>
      <c r="G21" s="52">
        <v>21</v>
      </c>
    </row>
    <row r="22" spans="1:7" x14ac:dyDescent="0.25">
      <c r="A22" s="47">
        <v>2025</v>
      </c>
      <c r="B22" s="48" t="s">
        <v>244</v>
      </c>
      <c r="C22" s="48" t="s">
        <v>198</v>
      </c>
      <c r="D22" s="48" t="s">
        <v>232</v>
      </c>
      <c r="E22" s="48">
        <v>48260</v>
      </c>
      <c r="F22" s="48">
        <v>16801</v>
      </c>
      <c r="G22" s="48">
        <v>34.82</v>
      </c>
    </row>
    <row r="23" spans="1:7" x14ac:dyDescent="0.25">
      <c r="A23" s="47">
        <v>2025</v>
      </c>
      <c r="B23" s="48" t="s">
        <v>244</v>
      </c>
      <c r="C23" s="48" t="s">
        <v>198</v>
      </c>
      <c r="D23" s="48" t="s">
        <v>233</v>
      </c>
      <c r="E23" s="48">
        <v>39233</v>
      </c>
      <c r="F23" s="48">
        <v>23066</v>
      </c>
      <c r="G23" s="48">
        <v>58.8</v>
      </c>
    </row>
    <row r="24" spans="1:7" x14ac:dyDescent="0.25">
      <c r="A24" s="47">
        <v>2025</v>
      </c>
      <c r="B24" s="48" t="s">
        <v>244</v>
      </c>
      <c r="C24" s="48" t="s">
        <v>198</v>
      </c>
      <c r="D24" s="48" t="s">
        <v>234</v>
      </c>
      <c r="E24" s="48">
        <v>87493</v>
      </c>
      <c r="F24" s="48">
        <v>39867</v>
      </c>
      <c r="G24" s="48">
        <v>45.57</v>
      </c>
    </row>
    <row r="25" spans="1:7" x14ac:dyDescent="0.25">
      <c r="A25" s="47">
        <v>2025</v>
      </c>
      <c r="B25" s="48" t="s">
        <v>244</v>
      </c>
      <c r="C25" s="48" t="s">
        <v>520</v>
      </c>
      <c r="D25" s="48" t="s">
        <v>232</v>
      </c>
      <c r="E25" s="48">
        <v>3876</v>
      </c>
      <c r="F25" s="48">
        <v>868</v>
      </c>
      <c r="G25" s="48">
        <v>22.39</v>
      </c>
    </row>
    <row r="26" spans="1:7" x14ac:dyDescent="0.25">
      <c r="A26" s="47">
        <v>2025</v>
      </c>
      <c r="B26" s="48" t="s">
        <v>244</v>
      </c>
      <c r="C26" s="48" t="s">
        <v>520</v>
      </c>
      <c r="D26" s="48" t="s">
        <v>233</v>
      </c>
      <c r="E26" s="48">
        <v>16463</v>
      </c>
      <c r="F26" s="48">
        <v>8303</v>
      </c>
      <c r="G26" s="48">
        <v>50.44</v>
      </c>
    </row>
    <row r="27" spans="1:7" x14ac:dyDescent="0.25">
      <c r="A27" s="47">
        <v>2025</v>
      </c>
      <c r="B27" s="48" t="s">
        <v>244</v>
      </c>
      <c r="C27" s="48" t="s">
        <v>520</v>
      </c>
      <c r="D27" s="48" t="s">
        <v>234</v>
      </c>
      <c r="E27" s="48">
        <v>20339</v>
      </c>
      <c r="F27" s="48">
        <v>9171</v>
      </c>
      <c r="G27" s="48">
        <v>45.1</v>
      </c>
    </row>
    <row r="28" spans="1:7" x14ac:dyDescent="0.25">
      <c r="A28" s="47">
        <v>2025</v>
      </c>
      <c r="B28" s="48" t="s">
        <v>238</v>
      </c>
      <c r="C28" s="48" t="s">
        <v>198</v>
      </c>
      <c r="D28" s="48" t="s">
        <v>232</v>
      </c>
      <c r="E28" s="48">
        <v>7680</v>
      </c>
      <c r="F28" s="48">
        <v>1330</v>
      </c>
      <c r="G28" s="48">
        <v>17.32</v>
      </c>
    </row>
    <row r="29" spans="1:7" x14ac:dyDescent="0.25">
      <c r="A29" s="47">
        <v>2025</v>
      </c>
      <c r="B29" s="48" t="s">
        <v>238</v>
      </c>
      <c r="C29" s="48" t="s">
        <v>198</v>
      </c>
      <c r="D29" s="48" t="s">
        <v>233</v>
      </c>
      <c r="E29" s="48">
        <v>4670</v>
      </c>
      <c r="F29" s="48">
        <v>1610</v>
      </c>
      <c r="G29" s="48">
        <v>34.479999999999997</v>
      </c>
    </row>
    <row r="30" spans="1:7" x14ac:dyDescent="0.25">
      <c r="A30" s="47">
        <v>2025</v>
      </c>
      <c r="B30" s="48" t="s">
        <v>238</v>
      </c>
      <c r="C30" s="48" t="s">
        <v>198</v>
      </c>
      <c r="D30" s="48" t="s">
        <v>234</v>
      </c>
      <c r="E30" s="48">
        <v>12350</v>
      </c>
      <c r="F30" s="48">
        <v>2940</v>
      </c>
      <c r="G30" s="48">
        <v>23.81</v>
      </c>
    </row>
    <row r="31" spans="1:7" x14ac:dyDescent="0.25">
      <c r="A31" s="47">
        <v>2025</v>
      </c>
      <c r="B31" s="48" t="s">
        <v>238</v>
      </c>
      <c r="C31" s="48" t="s">
        <v>520</v>
      </c>
      <c r="D31" s="48" t="s">
        <v>232</v>
      </c>
      <c r="E31" s="48">
        <v>2816</v>
      </c>
      <c r="F31" s="48">
        <v>544</v>
      </c>
      <c r="G31" s="48">
        <v>19.329999999999998</v>
      </c>
    </row>
    <row r="32" spans="1:7" x14ac:dyDescent="0.25">
      <c r="A32" s="47">
        <v>2025</v>
      </c>
      <c r="B32" s="48" t="s">
        <v>238</v>
      </c>
      <c r="C32" s="48" t="s">
        <v>520</v>
      </c>
      <c r="D32" s="48" t="s">
        <v>233</v>
      </c>
      <c r="E32" s="48">
        <v>2991</v>
      </c>
      <c r="F32" s="48">
        <v>1135</v>
      </c>
      <c r="G32" s="48">
        <v>37.950000000000003</v>
      </c>
    </row>
    <row r="33" spans="1:7" x14ac:dyDescent="0.25">
      <c r="A33" s="47">
        <v>2025</v>
      </c>
      <c r="B33" s="48" t="s">
        <v>238</v>
      </c>
      <c r="C33" s="48" t="s">
        <v>520</v>
      </c>
      <c r="D33" s="48" t="s">
        <v>234</v>
      </c>
      <c r="E33" s="48">
        <v>5807</v>
      </c>
      <c r="F33" s="48">
        <v>1679</v>
      </c>
      <c r="G33" s="48">
        <v>28.92</v>
      </c>
    </row>
    <row r="34" spans="1:7" x14ac:dyDescent="0.25">
      <c r="A34" s="47">
        <v>2025</v>
      </c>
      <c r="B34" s="48" t="s">
        <v>246</v>
      </c>
      <c r="C34" s="48" t="s">
        <v>198</v>
      </c>
      <c r="D34" s="48" t="s">
        <v>232</v>
      </c>
      <c r="E34" s="48">
        <v>55940</v>
      </c>
      <c r="F34" s="48">
        <v>18131</v>
      </c>
      <c r="G34" s="48">
        <v>32.409999999999997</v>
      </c>
    </row>
    <row r="35" spans="1:7" x14ac:dyDescent="0.25">
      <c r="A35" s="47">
        <v>2025</v>
      </c>
      <c r="B35" s="48" t="s">
        <v>246</v>
      </c>
      <c r="C35" s="48" t="s">
        <v>198</v>
      </c>
      <c r="D35" s="48" t="s">
        <v>233</v>
      </c>
      <c r="E35" s="48">
        <v>43903</v>
      </c>
      <c r="F35" s="48">
        <v>24676</v>
      </c>
      <c r="G35" s="48">
        <v>56.21</v>
      </c>
    </row>
    <row r="36" spans="1:7" x14ac:dyDescent="0.25">
      <c r="A36" s="47">
        <v>2025</v>
      </c>
      <c r="B36" s="48" t="s">
        <v>246</v>
      </c>
      <c r="C36" s="48" t="s">
        <v>198</v>
      </c>
      <c r="D36" s="48" t="s">
        <v>234</v>
      </c>
      <c r="E36" s="48">
        <v>99843</v>
      </c>
      <c r="F36" s="48">
        <v>42807</v>
      </c>
      <c r="G36" s="48">
        <v>42.87</v>
      </c>
    </row>
    <row r="37" spans="1:7" x14ac:dyDescent="0.25">
      <c r="A37" s="47">
        <v>2025</v>
      </c>
      <c r="B37" s="48" t="s">
        <v>246</v>
      </c>
      <c r="C37" s="48" t="s">
        <v>520</v>
      </c>
      <c r="D37" s="48" t="s">
        <v>232</v>
      </c>
      <c r="E37" s="48">
        <v>6692</v>
      </c>
      <c r="F37" s="48">
        <v>1412</v>
      </c>
      <c r="G37" s="48">
        <v>21.1</v>
      </c>
    </row>
    <row r="38" spans="1:7" x14ac:dyDescent="0.25">
      <c r="A38" s="47">
        <v>2025</v>
      </c>
      <c r="B38" s="48" t="s">
        <v>246</v>
      </c>
      <c r="C38" s="48" t="s">
        <v>520</v>
      </c>
      <c r="D38" s="48" t="s">
        <v>233</v>
      </c>
      <c r="E38" s="48">
        <v>19454</v>
      </c>
      <c r="F38" s="48">
        <v>9438</v>
      </c>
      <c r="G38" s="48">
        <v>48.51</v>
      </c>
    </row>
    <row r="39" spans="1:7" x14ac:dyDescent="0.25">
      <c r="A39" s="47">
        <v>2025</v>
      </c>
      <c r="B39" s="48" t="s">
        <v>246</v>
      </c>
      <c r="C39" s="48" t="s">
        <v>520</v>
      </c>
      <c r="D39" s="48" t="s">
        <v>234</v>
      </c>
      <c r="E39" s="48">
        <v>26146</v>
      </c>
      <c r="F39" s="48">
        <v>10850</v>
      </c>
      <c r="G39" s="48">
        <v>41.49</v>
      </c>
    </row>
  </sheetData>
  <autoFilter ref="A3:G39" xr:uid="{00000000-0009-0000-0000-000027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0" customWidth="1"/>
    <col min="3" max="3" width="12" customWidth="1"/>
    <col min="4" max="5" width="10" customWidth="1"/>
  </cols>
  <sheetData>
    <row r="1" spans="1:5" ht="21.75" customHeight="1" x14ac:dyDescent="0.25">
      <c r="A1" s="2" t="s">
        <v>521</v>
      </c>
      <c r="B1" s="2"/>
      <c r="C1" s="2"/>
      <c r="D1" s="2"/>
      <c r="E1" s="2"/>
    </row>
    <row r="2" spans="1:5" ht="15.75" customHeight="1" x14ac:dyDescent="0.25">
      <c r="A2" s="1" t="s">
        <v>522</v>
      </c>
      <c r="B2" s="1"/>
      <c r="C2" s="1"/>
      <c r="D2" s="1"/>
      <c r="E2" s="1"/>
    </row>
    <row r="3" spans="1:5" x14ac:dyDescent="0.25">
      <c r="A3" s="42" t="s">
        <v>64</v>
      </c>
      <c r="B3" s="42" t="s">
        <v>229</v>
      </c>
      <c r="C3" s="42" t="s">
        <v>122</v>
      </c>
      <c r="D3" s="42" t="s">
        <v>306</v>
      </c>
      <c r="E3" s="42" t="s">
        <v>132</v>
      </c>
    </row>
    <row r="4" spans="1:5" x14ac:dyDescent="0.25">
      <c r="A4" s="51" t="s">
        <v>157</v>
      </c>
      <c r="B4" s="52" t="s">
        <v>232</v>
      </c>
      <c r="C4" s="52">
        <v>2169</v>
      </c>
      <c r="D4" s="52">
        <v>584</v>
      </c>
      <c r="E4" s="52">
        <v>26.92</v>
      </c>
    </row>
    <row r="5" spans="1:5" x14ac:dyDescent="0.25">
      <c r="A5" s="51" t="s">
        <v>157</v>
      </c>
      <c r="B5" s="52" t="s">
        <v>233</v>
      </c>
      <c r="C5" s="52">
        <v>1487</v>
      </c>
      <c r="D5" s="52">
        <v>792</v>
      </c>
      <c r="E5" s="52">
        <v>53.26</v>
      </c>
    </row>
    <row r="6" spans="1:5" x14ac:dyDescent="0.25">
      <c r="A6" s="51" t="s">
        <v>157</v>
      </c>
      <c r="B6" s="52" t="s">
        <v>234</v>
      </c>
      <c r="C6" s="52">
        <v>3656</v>
      </c>
      <c r="D6" s="52">
        <v>1376</v>
      </c>
      <c r="E6" s="52">
        <v>37.64</v>
      </c>
    </row>
    <row r="7" spans="1:5" x14ac:dyDescent="0.25">
      <c r="A7" s="51" t="s">
        <v>317</v>
      </c>
      <c r="B7" s="52" t="s">
        <v>232</v>
      </c>
      <c r="C7" s="52">
        <v>784</v>
      </c>
      <c r="D7" s="52">
        <v>203</v>
      </c>
      <c r="E7" s="52">
        <v>25.89</v>
      </c>
    </row>
    <row r="8" spans="1:5" x14ac:dyDescent="0.25">
      <c r="A8" s="51" t="s">
        <v>317</v>
      </c>
      <c r="B8" s="52" t="s">
        <v>233</v>
      </c>
      <c r="C8" s="52">
        <v>1267</v>
      </c>
      <c r="D8" s="52">
        <v>598</v>
      </c>
      <c r="E8" s="52">
        <v>47.2</v>
      </c>
    </row>
    <row r="9" spans="1:5" x14ac:dyDescent="0.25">
      <c r="A9" s="51" t="s">
        <v>317</v>
      </c>
      <c r="B9" s="52" t="s">
        <v>234</v>
      </c>
      <c r="C9" s="52">
        <v>2051</v>
      </c>
      <c r="D9" s="52">
        <v>801</v>
      </c>
      <c r="E9" s="52">
        <v>39.049999999999997</v>
      </c>
    </row>
    <row r="10" spans="1:5" x14ac:dyDescent="0.25">
      <c r="A10" s="51" t="s">
        <v>318</v>
      </c>
      <c r="B10" s="52" t="s">
        <v>232</v>
      </c>
      <c r="C10" s="52">
        <v>188</v>
      </c>
      <c r="D10" s="52">
        <v>15</v>
      </c>
      <c r="E10" s="52">
        <v>7.98</v>
      </c>
    </row>
    <row r="11" spans="1:5" x14ac:dyDescent="0.25">
      <c r="A11" s="51" t="s">
        <v>318</v>
      </c>
      <c r="B11" s="52" t="s">
        <v>234</v>
      </c>
      <c r="C11" s="52">
        <v>188</v>
      </c>
      <c r="D11" s="52">
        <v>15</v>
      </c>
      <c r="E11" s="52">
        <v>7.98</v>
      </c>
    </row>
    <row r="12" spans="1:5" x14ac:dyDescent="0.25">
      <c r="A12" s="51" t="s">
        <v>316</v>
      </c>
      <c r="B12" s="52" t="s">
        <v>232</v>
      </c>
      <c r="C12" s="52">
        <v>43</v>
      </c>
      <c r="D12" s="52">
        <v>2</v>
      </c>
      <c r="E12" s="52">
        <v>4.6500000000000004</v>
      </c>
    </row>
    <row r="13" spans="1:5" x14ac:dyDescent="0.25">
      <c r="A13" s="51" t="s">
        <v>316</v>
      </c>
      <c r="B13" s="52" t="s">
        <v>233</v>
      </c>
      <c r="C13" s="52">
        <v>744</v>
      </c>
      <c r="D13" s="52">
        <v>150</v>
      </c>
      <c r="E13" s="52">
        <v>20.16</v>
      </c>
    </row>
    <row r="14" spans="1:5" x14ac:dyDescent="0.25">
      <c r="A14" s="51" t="s">
        <v>316</v>
      </c>
      <c r="B14" s="52" t="s">
        <v>234</v>
      </c>
      <c r="C14" s="52">
        <v>787</v>
      </c>
      <c r="D14" s="52">
        <v>152</v>
      </c>
      <c r="E14" s="52">
        <v>19.309999999999999</v>
      </c>
    </row>
  </sheetData>
  <autoFilter ref="A3:E14" xr:uid="{00000000-0009-0000-0000-000028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7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0" customWidth="1"/>
    <col min="3" max="3" width="28" customWidth="1"/>
    <col min="4" max="6" width="12" customWidth="1"/>
    <col min="7" max="7" width="10" customWidth="1"/>
  </cols>
  <sheetData>
    <row r="1" spans="1:7" ht="21.75" customHeight="1" x14ac:dyDescent="0.25">
      <c r="A1" s="2" t="s">
        <v>523</v>
      </c>
      <c r="B1" s="2"/>
      <c r="C1" s="2"/>
      <c r="D1" s="2"/>
      <c r="E1" s="2"/>
      <c r="F1" s="2"/>
    </row>
    <row r="3" spans="1:7" x14ac:dyDescent="0.25">
      <c r="A3" s="42" t="s">
        <v>121</v>
      </c>
      <c r="B3" s="42" t="s">
        <v>229</v>
      </c>
      <c r="C3" s="42" t="s">
        <v>131</v>
      </c>
      <c r="D3" s="42" t="s">
        <v>439</v>
      </c>
      <c r="E3" s="42" t="s">
        <v>122</v>
      </c>
      <c r="F3" s="42" t="s">
        <v>123</v>
      </c>
      <c r="G3" s="42" t="s">
        <v>132</v>
      </c>
    </row>
    <row r="4" spans="1:7" x14ac:dyDescent="0.25">
      <c r="A4" s="52">
        <v>2026</v>
      </c>
      <c r="B4" s="51" t="s">
        <v>232</v>
      </c>
      <c r="C4" s="51" t="s">
        <v>524</v>
      </c>
      <c r="D4" s="52">
        <v>31052</v>
      </c>
      <c r="E4" s="52">
        <v>30380</v>
      </c>
      <c r="F4" s="52">
        <v>5880</v>
      </c>
      <c r="G4" s="52">
        <v>19.350000000000001</v>
      </c>
    </row>
    <row r="5" spans="1:7" x14ac:dyDescent="0.25">
      <c r="A5" s="52">
        <v>2026</v>
      </c>
      <c r="B5" s="51" t="s">
        <v>232</v>
      </c>
      <c r="C5" s="51" t="s">
        <v>525</v>
      </c>
      <c r="D5" s="52">
        <v>18827</v>
      </c>
      <c r="E5" s="52">
        <v>18559</v>
      </c>
      <c r="F5" s="52">
        <v>9340</v>
      </c>
      <c r="G5" s="52">
        <v>50.32</v>
      </c>
    </row>
    <row r="6" spans="1:7" x14ac:dyDescent="0.25">
      <c r="A6" s="52">
        <v>2026</v>
      </c>
      <c r="B6" s="51" t="s">
        <v>232</v>
      </c>
      <c r="C6" s="51" t="s">
        <v>449</v>
      </c>
      <c r="D6" s="52">
        <v>10420</v>
      </c>
      <c r="E6" s="52">
        <v>9782</v>
      </c>
      <c r="F6" s="52">
        <v>1216</v>
      </c>
      <c r="G6" s="52">
        <v>12.43</v>
      </c>
    </row>
    <row r="7" spans="1:7" x14ac:dyDescent="0.25">
      <c r="A7" s="52">
        <v>2026</v>
      </c>
      <c r="B7" s="51" t="s">
        <v>232</v>
      </c>
      <c r="C7" s="51" t="s">
        <v>443</v>
      </c>
      <c r="D7" s="52">
        <v>60299</v>
      </c>
      <c r="E7" s="52">
        <v>58721</v>
      </c>
      <c r="F7" s="52">
        <v>16436</v>
      </c>
      <c r="G7" s="52">
        <v>27.98</v>
      </c>
    </row>
    <row r="8" spans="1:7" x14ac:dyDescent="0.25">
      <c r="A8" s="52">
        <v>2026</v>
      </c>
      <c r="B8" s="51" t="s">
        <v>233</v>
      </c>
      <c r="C8" s="51" t="s">
        <v>524</v>
      </c>
      <c r="D8" s="52">
        <v>40508</v>
      </c>
      <c r="E8" s="52">
        <v>39937</v>
      </c>
      <c r="F8" s="52">
        <v>15797</v>
      </c>
      <c r="G8" s="52">
        <v>39.549999999999997</v>
      </c>
    </row>
    <row r="9" spans="1:7" x14ac:dyDescent="0.25">
      <c r="A9" s="52">
        <v>2026</v>
      </c>
      <c r="B9" s="51" t="s">
        <v>233</v>
      </c>
      <c r="C9" s="51" t="s">
        <v>525</v>
      </c>
      <c r="D9" s="52">
        <v>16458</v>
      </c>
      <c r="E9" s="52">
        <v>16285</v>
      </c>
      <c r="F9" s="52">
        <v>11710</v>
      </c>
      <c r="G9" s="52">
        <v>71.900000000000006</v>
      </c>
    </row>
    <row r="10" spans="1:7" x14ac:dyDescent="0.25">
      <c r="A10" s="52">
        <v>2026</v>
      </c>
      <c r="B10" s="51" t="s">
        <v>233</v>
      </c>
      <c r="C10" s="51" t="s">
        <v>449</v>
      </c>
      <c r="D10" s="52">
        <v>7165</v>
      </c>
      <c r="E10" s="52">
        <v>6796</v>
      </c>
      <c r="F10" s="52">
        <v>1781</v>
      </c>
      <c r="G10" s="52">
        <v>26.2</v>
      </c>
    </row>
    <row r="11" spans="1:7" x14ac:dyDescent="0.25">
      <c r="A11" s="52">
        <v>2026</v>
      </c>
      <c r="B11" s="51" t="s">
        <v>233</v>
      </c>
      <c r="C11" s="51" t="s">
        <v>443</v>
      </c>
      <c r="D11" s="52">
        <v>64131</v>
      </c>
      <c r="E11" s="52">
        <v>63018</v>
      </c>
      <c r="F11" s="52">
        <v>29288</v>
      </c>
      <c r="G11" s="52">
        <v>46.47</v>
      </c>
    </row>
    <row r="12" spans="1:7" x14ac:dyDescent="0.25">
      <c r="A12" s="52">
        <v>2026</v>
      </c>
      <c r="B12" s="51" t="s">
        <v>234</v>
      </c>
      <c r="C12" s="51" t="s">
        <v>524</v>
      </c>
      <c r="D12" s="52">
        <v>71560</v>
      </c>
      <c r="E12" s="52">
        <v>70317</v>
      </c>
      <c r="F12" s="52">
        <v>21677</v>
      </c>
      <c r="G12" s="52">
        <v>30.82</v>
      </c>
    </row>
    <row r="13" spans="1:7" x14ac:dyDescent="0.25">
      <c r="A13" s="52">
        <v>2026</v>
      </c>
      <c r="B13" s="51" t="s">
        <v>234</v>
      </c>
      <c r="C13" s="51" t="s">
        <v>525</v>
      </c>
      <c r="D13" s="52">
        <v>35285</v>
      </c>
      <c r="E13" s="52">
        <v>34844</v>
      </c>
      <c r="F13" s="52">
        <v>21050</v>
      </c>
      <c r="G13" s="52">
        <v>60.41</v>
      </c>
    </row>
    <row r="14" spans="1:7" x14ac:dyDescent="0.25">
      <c r="A14" s="52">
        <v>2026</v>
      </c>
      <c r="B14" s="51" t="s">
        <v>234</v>
      </c>
      <c r="C14" s="51" t="s">
        <v>449</v>
      </c>
      <c r="D14" s="52">
        <v>17585</v>
      </c>
      <c r="E14" s="52">
        <v>16578</v>
      </c>
      <c r="F14" s="52">
        <v>2997</v>
      </c>
      <c r="G14" s="52">
        <v>18.07</v>
      </c>
    </row>
    <row r="15" spans="1:7" x14ac:dyDescent="0.25">
      <c r="A15" s="52">
        <v>2026</v>
      </c>
      <c r="B15" s="51" t="s">
        <v>234</v>
      </c>
      <c r="C15" s="51" t="s">
        <v>203</v>
      </c>
      <c r="D15" s="52">
        <v>124430</v>
      </c>
      <c r="E15" s="52">
        <v>121739</v>
      </c>
      <c r="F15" s="52">
        <v>45724</v>
      </c>
      <c r="G15" s="52">
        <v>37.56</v>
      </c>
    </row>
    <row r="16" spans="1:7" x14ac:dyDescent="0.25">
      <c r="A16" s="48">
        <v>2025</v>
      </c>
      <c r="B16" s="47" t="s">
        <v>232</v>
      </c>
      <c r="C16" s="47" t="s">
        <v>524</v>
      </c>
      <c r="D16" s="48">
        <v>33513</v>
      </c>
      <c r="E16" s="48">
        <v>32902</v>
      </c>
      <c r="F16" s="48">
        <v>6853</v>
      </c>
      <c r="G16" s="48">
        <v>20.82</v>
      </c>
    </row>
    <row r="17" spans="1:7" x14ac:dyDescent="0.25">
      <c r="A17" s="48">
        <v>2025</v>
      </c>
      <c r="B17" s="47" t="s">
        <v>232</v>
      </c>
      <c r="C17" s="47" t="s">
        <v>525</v>
      </c>
      <c r="D17" s="48">
        <v>19448</v>
      </c>
      <c r="E17" s="48">
        <v>19234</v>
      </c>
      <c r="F17" s="48">
        <v>10816</v>
      </c>
      <c r="G17" s="48">
        <v>56.23</v>
      </c>
    </row>
    <row r="18" spans="1:7" x14ac:dyDescent="0.25">
      <c r="A18" s="48">
        <v>2025</v>
      </c>
      <c r="B18" s="47" t="s">
        <v>232</v>
      </c>
      <c r="C18" s="47" t="s">
        <v>449</v>
      </c>
      <c r="D18" s="48">
        <v>11036</v>
      </c>
      <c r="E18" s="48">
        <v>10496</v>
      </c>
      <c r="F18" s="48">
        <v>1874</v>
      </c>
      <c r="G18" s="48">
        <v>17.850000000000001</v>
      </c>
    </row>
    <row r="19" spans="1:7" x14ac:dyDescent="0.25">
      <c r="A19" s="48">
        <v>2025</v>
      </c>
      <c r="B19" s="47" t="s">
        <v>232</v>
      </c>
      <c r="C19" s="47" t="s">
        <v>443</v>
      </c>
      <c r="D19" s="48">
        <v>63997</v>
      </c>
      <c r="E19" s="48">
        <v>62632</v>
      </c>
      <c r="F19" s="48">
        <v>19543</v>
      </c>
      <c r="G19" s="48">
        <v>31.2</v>
      </c>
    </row>
    <row r="20" spans="1:7" x14ac:dyDescent="0.25">
      <c r="A20" s="48">
        <v>2025</v>
      </c>
      <c r="B20" s="47" t="s">
        <v>233</v>
      </c>
      <c r="C20" s="47" t="s">
        <v>524</v>
      </c>
      <c r="D20" s="48">
        <v>39680</v>
      </c>
      <c r="E20" s="48">
        <v>39106</v>
      </c>
      <c r="F20" s="48">
        <v>19140</v>
      </c>
      <c r="G20" s="48">
        <v>48.94</v>
      </c>
    </row>
    <row r="21" spans="1:7" x14ac:dyDescent="0.25">
      <c r="A21" s="48">
        <v>2025</v>
      </c>
      <c r="B21" s="47" t="s">
        <v>233</v>
      </c>
      <c r="C21" s="47" t="s">
        <v>525</v>
      </c>
      <c r="D21" s="48">
        <v>16741</v>
      </c>
      <c r="E21" s="48">
        <v>16590</v>
      </c>
      <c r="F21" s="48">
        <v>12229</v>
      </c>
      <c r="G21" s="48">
        <v>73.709999999999994</v>
      </c>
    </row>
    <row r="22" spans="1:7" x14ac:dyDescent="0.25">
      <c r="A22" s="48">
        <v>2025</v>
      </c>
      <c r="B22" s="47" t="s">
        <v>233</v>
      </c>
      <c r="C22" s="47" t="s">
        <v>449</v>
      </c>
      <c r="D22" s="48">
        <v>8035</v>
      </c>
      <c r="E22" s="48">
        <v>7661</v>
      </c>
      <c r="F22" s="48">
        <v>2745</v>
      </c>
      <c r="G22" s="48">
        <v>35.83</v>
      </c>
    </row>
    <row r="23" spans="1:7" x14ac:dyDescent="0.25">
      <c r="A23" s="48">
        <v>2025</v>
      </c>
      <c r="B23" s="47" t="s">
        <v>233</v>
      </c>
      <c r="C23" s="47" t="s">
        <v>443</v>
      </c>
      <c r="D23" s="48">
        <v>64456</v>
      </c>
      <c r="E23" s="48">
        <v>63357</v>
      </c>
      <c r="F23" s="48">
        <v>34114</v>
      </c>
      <c r="G23" s="48">
        <v>53.84</v>
      </c>
    </row>
    <row r="24" spans="1:7" x14ac:dyDescent="0.25">
      <c r="A24" s="48">
        <v>2025</v>
      </c>
      <c r="B24" s="47" t="s">
        <v>234</v>
      </c>
      <c r="C24" s="47" t="s">
        <v>524</v>
      </c>
      <c r="D24" s="48">
        <v>73193</v>
      </c>
      <c r="E24" s="48">
        <v>72008</v>
      </c>
      <c r="F24" s="48">
        <v>25993</v>
      </c>
      <c r="G24" s="48">
        <v>36.090000000000003</v>
      </c>
    </row>
    <row r="25" spans="1:7" x14ac:dyDescent="0.25">
      <c r="A25" s="48">
        <v>2025</v>
      </c>
      <c r="B25" s="47" t="s">
        <v>234</v>
      </c>
      <c r="C25" s="47" t="s">
        <v>525</v>
      </c>
      <c r="D25" s="48">
        <v>36189</v>
      </c>
      <c r="E25" s="48">
        <v>35824</v>
      </c>
      <c r="F25" s="48">
        <v>23045</v>
      </c>
      <c r="G25" s="48">
        <v>64.319999999999993</v>
      </c>
    </row>
    <row r="26" spans="1:7" x14ac:dyDescent="0.25">
      <c r="A26" s="48">
        <v>2025</v>
      </c>
      <c r="B26" s="47" t="s">
        <v>234</v>
      </c>
      <c r="C26" s="47" t="s">
        <v>449</v>
      </c>
      <c r="D26" s="48">
        <v>19071</v>
      </c>
      <c r="E26" s="48">
        <v>18157</v>
      </c>
      <c r="F26" s="48">
        <v>4619</v>
      </c>
      <c r="G26" s="48">
        <v>25.43</v>
      </c>
    </row>
    <row r="27" spans="1:7" x14ac:dyDescent="0.25">
      <c r="A27" s="48">
        <v>2025</v>
      </c>
      <c r="B27" s="47" t="s">
        <v>234</v>
      </c>
      <c r="C27" s="47" t="s">
        <v>203</v>
      </c>
      <c r="D27" s="48">
        <v>128453</v>
      </c>
      <c r="E27" s="48">
        <v>125989</v>
      </c>
      <c r="F27" s="48">
        <v>53657</v>
      </c>
      <c r="G27" s="48">
        <v>42.6</v>
      </c>
    </row>
  </sheetData>
  <autoFilter ref="A3:G27" xr:uid="{00000000-0009-0000-0000-000029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3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4" customWidth="1"/>
    <col min="3" max="5" width="12" customWidth="1"/>
    <col min="6" max="6" width="10" customWidth="1"/>
  </cols>
  <sheetData>
    <row r="1" spans="1:6" ht="21.75" customHeight="1" x14ac:dyDescent="0.25">
      <c r="A1" s="2" t="s">
        <v>526</v>
      </c>
      <c r="B1" s="2"/>
      <c r="C1" s="2"/>
      <c r="D1" s="2"/>
      <c r="E1" s="2"/>
      <c r="F1" s="2"/>
    </row>
    <row r="3" spans="1:6" x14ac:dyDescent="0.25">
      <c r="A3" s="42" t="s">
        <v>121</v>
      </c>
      <c r="B3" s="42" t="s">
        <v>247</v>
      </c>
      <c r="C3" s="42" t="s">
        <v>131</v>
      </c>
      <c r="D3" s="42" t="s">
        <v>122</v>
      </c>
      <c r="E3" s="42" t="s">
        <v>123</v>
      </c>
      <c r="F3" s="42" t="s">
        <v>132</v>
      </c>
    </row>
    <row r="4" spans="1:6" x14ac:dyDescent="0.25">
      <c r="A4" s="51">
        <v>2026</v>
      </c>
      <c r="B4" s="52" t="s">
        <v>527</v>
      </c>
      <c r="C4" s="52" t="s">
        <v>244</v>
      </c>
      <c r="D4" s="52">
        <v>20719</v>
      </c>
      <c r="E4" s="52">
        <v>7174</v>
      </c>
      <c r="F4" s="52">
        <v>35</v>
      </c>
    </row>
    <row r="5" spans="1:6" x14ac:dyDescent="0.25">
      <c r="A5" s="51">
        <v>2026</v>
      </c>
      <c r="B5" s="52" t="s">
        <v>527</v>
      </c>
      <c r="C5" s="52" t="s">
        <v>238</v>
      </c>
      <c r="D5" s="52">
        <v>3158</v>
      </c>
      <c r="E5" s="52">
        <v>399</v>
      </c>
      <c r="F5" s="52">
        <v>12.6</v>
      </c>
    </row>
    <row r="6" spans="1:6" x14ac:dyDescent="0.25">
      <c r="A6" s="51">
        <v>2026</v>
      </c>
      <c r="B6" s="52" t="s">
        <v>527</v>
      </c>
      <c r="C6" s="52" t="s">
        <v>246</v>
      </c>
      <c r="D6" s="52">
        <v>23877</v>
      </c>
      <c r="E6" s="52">
        <v>7573</v>
      </c>
      <c r="F6" s="52">
        <v>31.7</v>
      </c>
    </row>
    <row r="7" spans="1:6" x14ac:dyDescent="0.25">
      <c r="A7" s="51">
        <v>2026</v>
      </c>
      <c r="B7" s="52" t="s">
        <v>528</v>
      </c>
      <c r="C7" s="52" t="s">
        <v>244</v>
      </c>
      <c r="D7" s="52">
        <v>15438</v>
      </c>
      <c r="E7" s="52">
        <v>6763</v>
      </c>
      <c r="F7" s="52">
        <v>43.8</v>
      </c>
    </row>
    <row r="8" spans="1:6" x14ac:dyDescent="0.25">
      <c r="A8" s="51">
        <v>2026</v>
      </c>
      <c r="B8" s="52" t="s">
        <v>528</v>
      </c>
      <c r="C8" s="52" t="s">
        <v>238</v>
      </c>
      <c r="D8" s="52">
        <v>1181</v>
      </c>
      <c r="E8" s="52">
        <v>250</v>
      </c>
      <c r="F8" s="52">
        <v>21.7</v>
      </c>
    </row>
    <row r="9" spans="1:6" x14ac:dyDescent="0.25">
      <c r="A9" s="51">
        <v>2026</v>
      </c>
      <c r="B9" s="52" t="s">
        <v>528</v>
      </c>
      <c r="C9" s="52" t="s">
        <v>246</v>
      </c>
      <c r="D9" s="52">
        <v>16619</v>
      </c>
      <c r="E9" s="52">
        <v>7013</v>
      </c>
      <c r="F9" s="52">
        <v>42.2</v>
      </c>
    </row>
    <row r="10" spans="1:6" x14ac:dyDescent="0.25">
      <c r="A10" s="51">
        <v>2026</v>
      </c>
      <c r="B10" s="52" t="s">
        <v>529</v>
      </c>
      <c r="C10" s="52" t="s">
        <v>244</v>
      </c>
      <c r="D10" s="52">
        <v>17244</v>
      </c>
      <c r="E10" s="52">
        <v>6863</v>
      </c>
      <c r="F10" s="52">
        <v>40</v>
      </c>
    </row>
    <row r="11" spans="1:6" x14ac:dyDescent="0.25">
      <c r="A11" s="51">
        <v>2026</v>
      </c>
      <c r="B11" s="52" t="s">
        <v>529</v>
      </c>
      <c r="C11" s="52" t="s">
        <v>238</v>
      </c>
      <c r="D11" s="52">
        <v>2732</v>
      </c>
      <c r="E11" s="52">
        <v>529</v>
      </c>
      <c r="F11" s="52">
        <v>19.399999999999999</v>
      </c>
    </row>
    <row r="12" spans="1:6" x14ac:dyDescent="0.25">
      <c r="A12" s="51">
        <v>2026</v>
      </c>
      <c r="B12" s="52" t="s">
        <v>529</v>
      </c>
      <c r="C12" s="52" t="s">
        <v>246</v>
      </c>
      <c r="D12" s="52">
        <v>19976</v>
      </c>
      <c r="E12" s="52">
        <v>7392</v>
      </c>
      <c r="F12" s="52">
        <v>37</v>
      </c>
    </row>
    <row r="13" spans="1:6" x14ac:dyDescent="0.25">
      <c r="A13" s="51">
        <v>2026</v>
      </c>
      <c r="B13" s="52" t="s">
        <v>83</v>
      </c>
      <c r="C13" s="52" t="s">
        <v>244</v>
      </c>
      <c r="D13" s="52">
        <v>40139</v>
      </c>
      <c r="E13" s="52">
        <v>17218</v>
      </c>
      <c r="F13" s="52">
        <v>43</v>
      </c>
    </row>
    <row r="14" spans="1:6" x14ac:dyDescent="0.25">
      <c r="A14" s="51">
        <v>2026</v>
      </c>
      <c r="B14" s="52" t="s">
        <v>83</v>
      </c>
      <c r="C14" s="52" t="s">
        <v>238</v>
      </c>
      <c r="D14" s="52">
        <v>7630</v>
      </c>
      <c r="E14" s="52">
        <v>1401</v>
      </c>
      <c r="F14" s="52">
        <v>18.399999999999999</v>
      </c>
    </row>
    <row r="15" spans="1:6" x14ac:dyDescent="0.25">
      <c r="A15" s="51">
        <v>2026</v>
      </c>
      <c r="B15" s="52" t="s">
        <v>83</v>
      </c>
      <c r="C15" s="52" t="s">
        <v>246</v>
      </c>
      <c r="D15" s="52">
        <v>47769</v>
      </c>
      <c r="E15" s="52">
        <v>18619</v>
      </c>
      <c r="F15" s="52">
        <v>39</v>
      </c>
    </row>
    <row r="16" spans="1:6" x14ac:dyDescent="0.25">
      <c r="A16" s="51">
        <v>2026</v>
      </c>
      <c r="B16" s="52" t="s">
        <v>530</v>
      </c>
      <c r="C16" s="52" t="s">
        <v>244</v>
      </c>
      <c r="D16" s="52">
        <v>7709</v>
      </c>
      <c r="E16" s="52">
        <v>3187</v>
      </c>
      <c r="F16" s="52">
        <v>41.3</v>
      </c>
    </row>
    <row r="17" spans="1:6" x14ac:dyDescent="0.25">
      <c r="A17" s="51">
        <v>2026</v>
      </c>
      <c r="B17" s="52" t="s">
        <v>530</v>
      </c>
      <c r="C17" s="52" t="s">
        <v>238</v>
      </c>
      <c r="D17" s="52">
        <v>828</v>
      </c>
      <c r="E17" s="52">
        <v>163</v>
      </c>
      <c r="F17" s="52">
        <v>19.7</v>
      </c>
    </row>
    <row r="18" spans="1:6" x14ac:dyDescent="0.25">
      <c r="A18" s="51">
        <v>2026</v>
      </c>
      <c r="B18" s="52" t="s">
        <v>530</v>
      </c>
      <c r="C18" s="52" t="s">
        <v>246</v>
      </c>
      <c r="D18" s="52">
        <v>8537</v>
      </c>
      <c r="E18" s="52">
        <v>3350</v>
      </c>
      <c r="F18" s="52">
        <v>39.200000000000003</v>
      </c>
    </row>
    <row r="19" spans="1:6" x14ac:dyDescent="0.25">
      <c r="A19" s="51">
        <v>2026</v>
      </c>
      <c r="B19" s="52" t="s">
        <v>531</v>
      </c>
      <c r="C19" s="52" t="s">
        <v>244</v>
      </c>
      <c r="D19" s="52">
        <v>3912</v>
      </c>
      <c r="E19" s="52">
        <v>1522</v>
      </c>
      <c r="F19" s="52">
        <v>39</v>
      </c>
    </row>
    <row r="20" spans="1:6" x14ac:dyDescent="0.25">
      <c r="A20" s="51">
        <v>2026</v>
      </c>
      <c r="B20" s="52" t="s">
        <v>531</v>
      </c>
      <c r="C20" s="52" t="s">
        <v>238</v>
      </c>
      <c r="D20" s="52">
        <v>1049</v>
      </c>
      <c r="E20" s="52">
        <v>255</v>
      </c>
      <c r="F20" s="52">
        <v>24</v>
      </c>
    </row>
    <row r="21" spans="1:6" x14ac:dyDescent="0.25">
      <c r="A21" s="51">
        <v>2026</v>
      </c>
      <c r="B21" s="52" t="s">
        <v>531</v>
      </c>
      <c r="C21" s="52" t="s">
        <v>246</v>
      </c>
      <c r="D21" s="52">
        <v>4961</v>
      </c>
      <c r="E21" s="52">
        <v>1777</v>
      </c>
      <c r="F21" s="52">
        <v>36</v>
      </c>
    </row>
    <row r="22" spans="1:6" x14ac:dyDescent="0.25">
      <c r="A22" s="47">
        <v>2025</v>
      </c>
      <c r="B22" s="48" t="s">
        <v>527</v>
      </c>
      <c r="C22" s="48" t="s">
        <v>244</v>
      </c>
      <c r="D22" s="48">
        <v>21636</v>
      </c>
      <c r="E22" s="48">
        <v>8252</v>
      </c>
      <c r="F22" s="48">
        <v>38.14</v>
      </c>
    </row>
    <row r="23" spans="1:6" x14ac:dyDescent="0.25">
      <c r="A23" s="47">
        <v>2025</v>
      </c>
      <c r="B23" s="48" t="s">
        <v>527</v>
      </c>
      <c r="C23" s="48" t="s">
        <v>238</v>
      </c>
      <c r="D23" s="48">
        <v>2902</v>
      </c>
      <c r="E23" s="48">
        <v>628</v>
      </c>
      <c r="F23" s="48">
        <v>21.64</v>
      </c>
    </row>
    <row r="24" spans="1:6" x14ac:dyDescent="0.25">
      <c r="A24" s="47">
        <v>2025</v>
      </c>
      <c r="B24" s="48" t="s">
        <v>527</v>
      </c>
      <c r="C24" s="48" t="s">
        <v>246</v>
      </c>
      <c r="D24" s="48">
        <v>24538</v>
      </c>
      <c r="E24" s="48">
        <v>8880</v>
      </c>
      <c r="F24" s="48">
        <v>36.200000000000003</v>
      </c>
    </row>
    <row r="25" spans="1:6" x14ac:dyDescent="0.25">
      <c r="A25" s="47">
        <v>2025</v>
      </c>
      <c r="B25" s="48" t="s">
        <v>528</v>
      </c>
      <c r="C25" s="48" t="s">
        <v>244</v>
      </c>
      <c r="D25" s="48">
        <v>20582</v>
      </c>
      <c r="E25" s="48">
        <v>8448</v>
      </c>
      <c r="F25" s="48">
        <v>41.04</v>
      </c>
    </row>
    <row r="26" spans="1:6" x14ac:dyDescent="0.25">
      <c r="A26" s="47">
        <v>2025</v>
      </c>
      <c r="B26" s="48" t="s">
        <v>528</v>
      </c>
      <c r="C26" s="48" t="s">
        <v>238</v>
      </c>
      <c r="D26" s="48">
        <v>1082</v>
      </c>
      <c r="E26" s="48">
        <v>220</v>
      </c>
      <c r="F26" s="48">
        <v>20.329999999999998</v>
      </c>
    </row>
    <row r="27" spans="1:6" x14ac:dyDescent="0.25">
      <c r="A27" s="47">
        <v>2025</v>
      </c>
      <c r="B27" s="48" t="s">
        <v>528</v>
      </c>
      <c r="C27" s="48" t="s">
        <v>246</v>
      </c>
      <c r="D27" s="48">
        <v>21664</v>
      </c>
      <c r="E27" s="48">
        <v>8668</v>
      </c>
      <c r="F27" s="48">
        <v>40.01</v>
      </c>
    </row>
    <row r="28" spans="1:6" x14ac:dyDescent="0.25">
      <c r="A28" s="47">
        <v>2025</v>
      </c>
      <c r="B28" s="48" t="s">
        <v>529</v>
      </c>
      <c r="C28" s="48" t="s">
        <v>244</v>
      </c>
      <c r="D28" s="48">
        <v>17323</v>
      </c>
      <c r="E28" s="48">
        <v>7505</v>
      </c>
      <c r="F28" s="48">
        <v>43.32</v>
      </c>
    </row>
    <row r="29" spans="1:6" x14ac:dyDescent="0.25">
      <c r="A29" s="47">
        <v>2025</v>
      </c>
      <c r="B29" s="48" t="s">
        <v>529</v>
      </c>
      <c r="C29" s="48" t="s">
        <v>238</v>
      </c>
      <c r="D29" s="48">
        <v>2960</v>
      </c>
      <c r="E29" s="48">
        <v>750</v>
      </c>
      <c r="F29" s="48">
        <v>25.33</v>
      </c>
    </row>
    <row r="30" spans="1:6" x14ac:dyDescent="0.25">
      <c r="A30" s="47">
        <v>2025</v>
      </c>
      <c r="B30" s="48" t="s">
        <v>529</v>
      </c>
      <c r="C30" s="48" t="s">
        <v>246</v>
      </c>
      <c r="D30" s="48">
        <v>20283</v>
      </c>
      <c r="E30" s="48">
        <v>8255</v>
      </c>
      <c r="F30" s="48">
        <v>40.700000000000003</v>
      </c>
    </row>
    <row r="31" spans="1:6" x14ac:dyDescent="0.25">
      <c r="A31" s="47">
        <v>2025</v>
      </c>
      <c r="B31" s="48" t="s">
        <v>83</v>
      </c>
      <c r="C31" s="48" t="s">
        <v>244</v>
      </c>
      <c r="D31" s="48">
        <v>43837</v>
      </c>
      <c r="E31" s="48">
        <v>22975</v>
      </c>
      <c r="F31" s="48">
        <v>52.41</v>
      </c>
    </row>
    <row r="32" spans="1:6" x14ac:dyDescent="0.25">
      <c r="A32" s="47">
        <v>2025</v>
      </c>
      <c r="B32" s="48" t="s">
        <v>83</v>
      </c>
      <c r="C32" s="48" t="s">
        <v>238</v>
      </c>
      <c r="D32" s="48">
        <v>8927</v>
      </c>
      <c r="E32" s="48">
        <v>2424</v>
      </c>
      <c r="F32" s="48">
        <v>27.15</v>
      </c>
    </row>
    <row r="33" spans="1:6" x14ac:dyDescent="0.25">
      <c r="A33" s="47">
        <v>2025</v>
      </c>
      <c r="B33" s="48" t="s">
        <v>83</v>
      </c>
      <c r="C33" s="48" t="s">
        <v>246</v>
      </c>
      <c r="D33" s="48">
        <v>52764</v>
      </c>
      <c r="E33" s="48">
        <v>25399</v>
      </c>
      <c r="F33" s="48">
        <v>48.13</v>
      </c>
    </row>
    <row r="34" spans="1:6" x14ac:dyDescent="0.25">
      <c r="A34" s="47">
        <v>2025</v>
      </c>
      <c r="B34" s="48" t="s">
        <v>530</v>
      </c>
      <c r="C34" s="48" t="s">
        <v>244</v>
      </c>
      <c r="D34" s="48">
        <v>2945</v>
      </c>
      <c r="E34" s="48">
        <v>1274</v>
      </c>
      <c r="F34" s="48">
        <v>43.26</v>
      </c>
    </row>
    <row r="35" spans="1:6" x14ac:dyDescent="0.25">
      <c r="A35" s="47">
        <v>2025</v>
      </c>
      <c r="B35" s="48" t="s">
        <v>530</v>
      </c>
      <c r="C35" s="48" t="s">
        <v>238</v>
      </c>
      <c r="D35" s="48">
        <v>949</v>
      </c>
      <c r="E35" s="48">
        <v>198</v>
      </c>
      <c r="F35" s="48">
        <v>20.86</v>
      </c>
    </row>
    <row r="36" spans="1:6" x14ac:dyDescent="0.25">
      <c r="A36" s="47">
        <v>2025</v>
      </c>
      <c r="B36" s="48" t="s">
        <v>530</v>
      </c>
      <c r="C36" s="48" t="s">
        <v>246</v>
      </c>
      <c r="D36" s="48">
        <v>3894</v>
      </c>
      <c r="E36" s="48">
        <v>1472</v>
      </c>
      <c r="F36" s="48">
        <v>37.799999999999997</v>
      </c>
    </row>
    <row r="37" spans="1:6" x14ac:dyDescent="0.25">
      <c r="A37" s="47">
        <v>2025</v>
      </c>
      <c r="B37" s="48" t="s">
        <v>531</v>
      </c>
      <c r="C37" s="48" t="s">
        <v>244</v>
      </c>
      <c r="D37" s="48">
        <v>1509</v>
      </c>
      <c r="E37" s="48">
        <v>584</v>
      </c>
      <c r="F37" s="48">
        <v>38.700000000000003</v>
      </c>
    </row>
    <row r="38" spans="1:6" x14ac:dyDescent="0.25">
      <c r="A38" s="47">
        <v>2025</v>
      </c>
      <c r="B38" s="48" t="s">
        <v>531</v>
      </c>
      <c r="C38" s="48" t="s">
        <v>238</v>
      </c>
      <c r="D38" s="48">
        <v>1337</v>
      </c>
      <c r="E38" s="48">
        <v>399</v>
      </c>
      <c r="F38" s="48">
        <v>29.84</v>
      </c>
    </row>
    <row r="39" spans="1:6" x14ac:dyDescent="0.25">
      <c r="A39" s="47">
        <v>2025</v>
      </c>
      <c r="B39" s="48" t="s">
        <v>531</v>
      </c>
      <c r="C39" s="48" t="s">
        <v>246</v>
      </c>
      <c r="D39" s="48">
        <v>2846</v>
      </c>
      <c r="E39" s="48">
        <v>983</v>
      </c>
      <c r="F39" s="48">
        <v>34.54</v>
      </c>
    </row>
  </sheetData>
  <autoFilter ref="A3:F39" xr:uid="{00000000-0009-0000-0000-00002A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90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40" customWidth="1"/>
    <col min="2" max="2" width="7" customWidth="1"/>
    <col min="3" max="4" width="12" customWidth="1"/>
    <col min="5" max="5" width="10" customWidth="1"/>
  </cols>
  <sheetData>
    <row r="1" spans="1:5" ht="21.75" customHeight="1" x14ac:dyDescent="0.25">
      <c r="A1" s="2" t="s">
        <v>532</v>
      </c>
      <c r="B1" s="2"/>
      <c r="C1" s="2"/>
      <c r="D1" s="2"/>
      <c r="E1" s="2"/>
    </row>
    <row r="2" spans="1:5" ht="15.75" customHeight="1" x14ac:dyDescent="0.25">
      <c r="A2" s="1" t="s">
        <v>533</v>
      </c>
      <c r="B2" s="1"/>
      <c r="C2" s="1"/>
      <c r="D2" s="1"/>
      <c r="E2" s="1"/>
    </row>
    <row r="3" spans="1:5" x14ac:dyDescent="0.25">
      <c r="A3" s="42" t="s">
        <v>145</v>
      </c>
      <c r="B3" s="42" t="s">
        <v>121</v>
      </c>
      <c r="C3" s="42" t="s">
        <v>122</v>
      </c>
      <c r="D3" s="42" t="s">
        <v>123</v>
      </c>
      <c r="E3" s="42" t="s">
        <v>132</v>
      </c>
    </row>
    <row r="4" spans="1:5" x14ac:dyDescent="0.25">
      <c r="A4" s="51" t="s">
        <v>534</v>
      </c>
      <c r="B4" s="52">
        <v>2026</v>
      </c>
      <c r="C4" s="52">
        <v>188</v>
      </c>
      <c r="D4" s="52">
        <v>157</v>
      </c>
      <c r="E4" s="52">
        <v>83.51</v>
      </c>
    </row>
    <row r="5" spans="1:5" x14ac:dyDescent="0.25">
      <c r="A5" s="51" t="s">
        <v>535</v>
      </c>
      <c r="B5" s="52">
        <v>2026</v>
      </c>
      <c r="C5" s="52">
        <v>22</v>
      </c>
      <c r="D5" s="52">
        <v>3</v>
      </c>
      <c r="E5" s="52">
        <v>13.64</v>
      </c>
    </row>
    <row r="6" spans="1:5" x14ac:dyDescent="0.25">
      <c r="A6" s="47" t="s">
        <v>535</v>
      </c>
      <c r="B6" s="48">
        <v>2025</v>
      </c>
      <c r="C6" s="48">
        <v>21</v>
      </c>
      <c r="D6" s="48">
        <v>15</v>
      </c>
      <c r="E6" s="48">
        <v>71.430000000000007</v>
      </c>
    </row>
    <row r="7" spans="1:5" x14ac:dyDescent="0.25">
      <c r="A7" s="51" t="s">
        <v>363</v>
      </c>
      <c r="B7" s="52">
        <v>2026</v>
      </c>
      <c r="C7" s="52">
        <v>22</v>
      </c>
      <c r="D7" s="52">
        <v>15</v>
      </c>
      <c r="E7" s="52">
        <v>68.180000000000007</v>
      </c>
    </row>
    <row r="8" spans="1:5" x14ac:dyDescent="0.25">
      <c r="A8" s="47" t="s">
        <v>363</v>
      </c>
      <c r="B8" s="48">
        <v>2025</v>
      </c>
      <c r="C8" s="48">
        <v>21</v>
      </c>
      <c r="D8" s="48">
        <v>16</v>
      </c>
      <c r="E8" s="48">
        <v>76.19</v>
      </c>
    </row>
    <row r="9" spans="1:5" x14ac:dyDescent="0.25">
      <c r="A9" s="51" t="s">
        <v>147</v>
      </c>
      <c r="B9" s="52">
        <v>2026</v>
      </c>
      <c r="C9" s="52">
        <v>455</v>
      </c>
      <c r="D9" s="52">
        <v>384</v>
      </c>
      <c r="E9" s="52">
        <v>84.4</v>
      </c>
    </row>
    <row r="10" spans="1:5" x14ac:dyDescent="0.25">
      <c r="A10" s="47" t="s">
        <v>147</v>
      </c>
      <c r="B10" s="48">
        <v>2025</v>
      </c>
      <c r="C10" s="48">
        <v>601</v>
      </c>
      <c r="D10" s="48">
        <v>411</v>
      </c>
      <c r="E10" s="48">
        <v>68.39</v>
      </c>
    </row>
    <row r="11" spans="1:5" x14ac:dyDescent="0.25">
      <c r="A11" s="47" t="s">
        <v>536</v>
      </c>
      <c r="B11" s="48">
        <v>2025</v>
      </c>
      <c r="C11" s="48">
        <v>109</v>
      </c>
      <c r="D11" s="48">
        <v>107</v>
      </c>
      <c r="E11" s="48">
        <v>98.17</v>
      </c>
    </row>
    <row r="12" spans="1:5" x14ac:dyDescent="0.25">
      <c r="A12" s="51" t="s">
        <v>469</v>
      </c>
      <c r="B12" s="52">
        <v>2026</v>
      </c>
      <c r="C12" s="52">
        <v>415</v>
      </c>
      <c r="D12" s="52">
        <v>316</v>
      </c>
      <c r="E12" s="52">
        <v>76.14</v>
      </c>
    </row>
    <row r="13" spans="1:5" x14ac:dyDescent="0.25">
      <c r="A13" s="47" t="s">
        <v>469</v>
      </c>
      <c r="B13" s="48">
        <v>2025</v>
      </c>
      <c r="C13" s="48">
        <v>291</v>
      </c>
      <c r="D13" s="48">
        <v>276</v>
      </c>
      <c r="E13" s="48">
        <v>94.85</v>
      </c>
    </row>
    <row r="14" spans="1:5" x14ac:dyDescent="0.25">
      <c r="A14" s="51" t="s">
        <v>151</v>
      </c>
      <c r="B14" s="52">
        <v>2026</v>
      </c>
      <c r="C14" s="52">
        <v>27103</v>
      </c>
      <c r="D14" s="52">
        <v>21773</v>
      </c>
      <c r="E14" s="52">
        <v>80.33</v>
      </c>
    </row>
    <row r="15" spans="1:5" x14ac:dyDescent="0.25">
      <c r="A15" s="47" t="s">
        <v>151</v>
      </c>
      <c r="B15" s="48">
        <v>2025</v>
      </c>
      <c r="C15" s="48">
        <v>31017</v>
      </c>
      <c r="D15" s="48">
        <v>24077</v>
      </c>
      <c r="E15" s="48">
        <v>77.63</v>
      </c>
    </row>
    <row r="16" spans="1:5" x14ac:dyDescent="0.25">
      <c r="A16" s="51" t="s">
        <v>325</v>
      </c>
      <c r="B16" s="52">
        <v>2026</v>
      </c>
      <c r="C16" s="52">
        <v>2239</v>
      </c>
      <c r="D16" s="52">
        <v>1310</v>
      </c>
      <c r="E16" s="52">
        <v>58.51</v>
      </c>
    </row>
    <row r="17" spans="1:5" x14ac:dyDescent="0.25">
      <c r="A17" s="51" t="s">
        <v>153</v>
      </c>
      <c r="B17" s="52">
        <v>2026</v>
      </c>
      <c r="C17" s="52">
        <v>87666</v>
      </c>
      <c r="D17" s="52">
        <v>50298</v>
      </c>
      <c r="E17" s="52">
        <v>57.37</v>
      </c>
    </row>
    <row r="18" spans="1:5" x14ac:dyDescent="0.25">
      <c r="A18" s="47" t="s">
        <v>153</v>
      </c>
      <c r="B18" s="48">
        <v>2025</v>
      </c>
      <c r="C18" s="48">
        <v>100097</v>
      </c>
      <c r="D18" s="48">
        <v>57580</v>
      </c>
      <c r="E18" s="48">
        <v>57.52</v>
      </c>
    </row>
    <row r="19" spans="1:5" x14ac:dyDescent="0.25">
      <c r="A19" s="51" t="s">
        <v>326</v>
      </c>
      <c r="B19" s="52">
        <v>2026</v>
      </c>
      <c r="C19" s="52">
        <v>5895</v>
      </c>
      <c r="D19" s="52">
        <v>4130</v>
      </c>
      <c r="E19" s="52">
        <v>70.06</v>
      </c>
    </row>
    <row r="20" spans="1:5" x14ac:dyDescent="0.25">
      <c r="A20" s="51" t="s">
        <v>155</v>
      </c>
      <c r="B20" s="52">
        <v>2026</v>
      </c>
      <c r="C20" s="52">
        <v>2032</v>
      </c>
      <c r="D20" s="52">
        <v>1383</v>
      </c>
      <c r="E20" s="52">
        <v>68.06</v>
      </c>
    </row>
    <row r="21" spans="1:5" x14ac:dyDescent="0.25">
      <c r="A21" s="47" t="s">
        <v>155</v>
      </c>
      <c r="B21" s="48">
        <v>2025</v>
      </c>
      <c r="C21" s="48">
        <v>1712</v>
      </c>
      <c r="D21" s="48">
        <v>1004</v>
      </c>
      <c r="E21" s="48">
        <v>58.64</v>
      </c>
    </row>
    <row r="22" spans="1:5" x14ac:dyDescent="0.25">
      <c r="A22" s="51" t="s">
        <v>537</v>
      </c>
      <c r="B22" s="52">
        <v>2026</v>
      </c>
      <c r="C22" s="52">
        <v>409</v>
      </c>
      <c r="D22" s="52">
        <v>392</v>
      </c>
      <c r="E22" s="52">
        <v>95.84</v>
      </c>
    </row>
    <row r="23" spans="1:5" x14ac:dyDescent="0.25">
      <c r="A23" s="47" t="s">
        <v>537</v>
      </c>
      <c r="B23" s="48">
        <v>2025</v>
      </c>
      <c r="C23" s="48">
        <v>283</v>
      </c>
      <c r="D23" s="48">
        <v>253</v>
      </c>
      <c r="E23" s="48">
        <v>89.4</v>
      </c>
    </row>
    <row r="24" spans="1:5" x14ac:dyDescent="0.25">
      <c r="A24" s="51" t="s">
        <v>538</v>
      </c>
      <c r="B24" s="52">
        <v>2026</v>
      </c>
      <c r="C24" s="52">
        <v>787</v>
      </c>
      <c r="D24" s="52">
        <v>614</v>
      </c>
      <c r="E24" s="52">
        <v>78.02</v>
      </c>
    </row>
    <row r="25" spans="1:5" x14ac:dyDescent="0.25">
      <c r="A25" s="47" t="s">
        <v>157</v>
      </c>
      <c r="B25" s="48">
        <v>2025</v>
      </c>
      <c r="C25" s="48">
        <v>74201</v>
      </c>
      <c r="D25" s="48">
        <v>56828</v>
      </c>
      <c r="E25" s="48">
        <v>76.59</v>
      </c>
    </row>
    <row r="26" spans="1:5" x14ac:dyDescent="0.25">
      <c r="A26" s="51" t="s">
        <v>330</v>
      </c>
      <c r="B26" s="52">
        <v>2026</v>
      </c>
      <c r="C26" s="52">
        <v>64315</v>
      </c>
      <c r="D26" s="52">
        <v>39120</v>
      </c>
      <c r="E26" s="52">
        <v>60.83</v>
      </c>
    </row>
    <row r="27" spans="1:5" x14ac:dyDescent="0.25">
      <c r="A27" s="51" t="s">
        <v>331</v>
      </c>
      <c r="B27" s="52">
        <v>2026</v>
      </c>
      <c r="C27" s="52">
        <v>4443</v>
      </c>
      <c r="D27" s="52">
        <v>3153</v>
      </c>
      <c r="E27" s="52">
        <v>70.97</v>
      </c>
    </row>
    <row r="28" spans="1:5" x14ac:dyDescent="0.25">
      <c r="A28" s="47" t="s">
        <v>539</v>
      </c>
      <c r="B28" s="48">
        <v>2025</v>
      </c>
      <c r="C28" s="48">
        <v>105</v>
      </c>
      <c r="D28" s="48">
        <v>101</v>
      </c>
      <c r="E28" s="48">
        <v>96.19</v>
      </c>
    </row>
    <row r="29" spans="1:5" x14ac:dyDescent="0.25">
      <c r="A29" s="47" t="s">
        <v>333</v>
      </c>
      <c r="B29" s="48">
        <v>2025</v>
      </c>
      <c r="C29" s="48">
        <v>108</v>
      </c>
      <c r="D29" s="48">
        <v>103</v>
      </c>
      <c r="E29" s="48">
        <v>95.37</v>
      </c>
    </row>
    <row r="30" spans="1:5" x14ac:dyDescent="0.25">
      <c r="A30" s="51" t="s">
        <v>334</v>
      </c>
      <c r="B30" s="52">
        <v>2026</v>
      </c>
      <c r="C30" s="52">
        <v>13</v>
      </c>
      <c r="D30" s="52">
        <v>12</v>
      </c>
      <c r="E30" s="52">
        <v>92.31</v>
      </c>
    </row>
    <row r="31" spans="1:5" x14ac:dyDescent="0.25">
      <c r="A31" s="51" t="s">
        <v>161</v>
      </c>
      <c r="B31" s="52">
        <v>2026</v>
      </c>
      <c r="C31" s="52">
        <v>206</v>
      </c>
      <c r="D31" s="52">
        <v>127</v>
      </c>
      <c r="E31" s="52">
        <v>61.65</v>
      </c>
    </row>
    <row r="32" spans="1:5" x14ac:dyDescent="0.25">
      <c r="A32" s="47" t="s">
        <v>161</v>
      </c>
      <c r="B32" s="48">
        <v>2025</v>
      </c>
      <c r="C32" s="48">
        <v>120</v>
      </c>
      <c r="D32" s="48">
        <v>58</v>
      </c>
      <c r="E32" s="48">
        <v>48.33</v>
      </c>
    </row>
    <row r="33" spans="1:5" x14ac:dyDescent="0.25">
      <c r="A33" s="51" t="s">
        <v>335</v>
      </c>
      <c r="B33" s="52">
        <v>2026</v>
      </c>
      <c r="C33" s="52">
        <v>8021</v>
      </c>
      <c r="D33" s="52">
        <v>6267</v>
      </c>
      <c r="E33" s="52">
        <v>78.13</v>
      </c>
    </row>
    <row r="34" spans="1:5" x14ac:dyDescent="0.25">
      <c r="A34" s="47" t="s">
        <v>335</v>
      </c>
      <c r="B34" s="48">
        <v>2025</v>
      </c>
      <c r="C34" s="48">
        <v>7063</v>
      </c>
      <c r="D34" s="48">
        <v>5604</v>
      </c>
      <c r="E34" s="48">
        <v>79.34</v>
      </c>
    </row>
    <row r="35" spans="1:5" x14ac:dyDescent="0.25">
      <c r="A35" s="51" t="s">
        <v>473</v>
      </c>
      <c r="B35" s="52">
        <v>2026</v>
      </c>
      <c r="C35" s="52">
        <v>63</v>
      </c>
      <c r="D35" s="52">
        <v>17</v>
      </c>
      <c r="E35" s="52">
        <v>26.98</v>
      </c>
    </row>
    <row r="36" spans="1:5" x14ac:dyDescent="0.25">
      <c r="A36" s="47" t="s">
        <v>473</v>
      </c>
      <c r="B36" s="48">
        <v>2025</v>
      </c>
      <c r="C36" s="48">
        <v>10</v>
      </c>
      <c r="D36" s="48">
        <v>1</v>
      </c>
      <c r="E36" s="48">
        <v>10</v>
      </c>
    </row>
    <row r="37" spans="1:5" x14ac:dyDescent="0.25">
      <c r="A37" s="51" t="s">
        <v>337</v>
      </c>
      <c r="B37" s="52">
        <v>2026</v>
      </c>
      <c r="C37" s="52">
        <v>7728</v>
      </c>
      <c r="D37" s="52">
        <v>6972</v>
      </c>
      <c r="E37" s="52">
        <v>90.22</v>
      </c>
    </row>
    <row r="38" spans="1:5" x14ac:dyDescent="0.25">
      <c r="A38" s="47" t="s">
        <v>337</v>
      </c>
      <c r="B38" s="48">
        <v>2025</v>
      </c>
      <c r="C38" s="48">
        <v>7800</v>
      </c>
      <c r="D38" s="48">
        <v>6508</v>
      </c>
      <c r="E38" s="48">
        <v>83.44</v>
      </c>
    </row>
    <row r="39" spans="1:5" x14ac:dyDescent="0.25">
      <c r="A39" s="51" t="s">
        <v>474</v>
      </c>
      <c r="B39" s="52">
        <v>2026</v>
      </c>
      <c r="C39" s="52">
        <v>121963</v>
      </c>
      <c r="D39" s="52">
        <v>94159</v>
      </c>
      <c r="E39" s="52">
        <v>77.2</v>
      </c>
    </row>
    <row r="40" spans="1:5" x14ac:dyDescent="0.25">
      <c r="A40" s="47" t="s">
        <v>474</v>
      </c>
      <c r="B40" s="48">
        <v>2025</v>
      </c>
      <c r="C40" s="48">
        <v>126398</v>
      </c>
      <c r="D40" s="48">
        <v>100000</v>
      </c>
      <c r="E40" s="48">
        <v>79.12</v>
      </c>
    </row>
    <row r="41" spans="1:5" x14ac:dyDescent="0.25">
      <c r="A41" s="51" t="s">
        <v>419</v>
      </c>
      <c r="B41" s="52">
        <v>2026</v>
      </c>
      <c r="C41" s="52">
        <v>1175</v>
      </c>
      <c r="D41" s="52">
        <v>1083</v>
      </c>
      <c r="E41" s="52">
        <v>92.17</v>
      </c>
    </row>
    <row r="42" spans="1:5" x14ac:dyDescent="0.25">
      <c r="A42" s="47" t="s">
        <v>419</v>
      </c>
      <c r="B42" s="48">
        <v>2025</v>
      </c>
      <c r="C42" s="48">
        <v>1292</v>
      </c>
      <c r="D42" s="48">
        <v>1198</v>
      </c>
      <c r="E42" s="48">
        <v>92.72</v>
      </c>
    </row>
    <row r="43" spans="1:5" x14ac:dyDescent="0.25">
      <c r="A43" s="51" t="s">
        <v>540</v>
      </c>
      <c r="B43" s="52">
        <v>2026</v>
      </c>
      <c r="C43" s="52">
        <v>787</v>
      </c>
      <c r="D43" s="52">
        <v>739</v>
      </c>
      <c r="E43" s="52">
        <v>93.9</v>
      </c>
    </row>
    <row r="44" spans="1:5" x14ac:dyDescent="0.25">
      <c r="A44" s="51" t="s">
        <v>478</v>
      </c>
      <c r="B44" s="52">
        <v>2026</v>
      </c>
      <c r="C44" s="52">
        <v>464</v>
      </c>
      <c r="D44" s="52">
        <v>404</v>
      </c>
      <c r="E44" s="52">
        <v>87.07</v>
      </c>
    </row>
    <row r="45" spans="1:5" x14ac:dyDescent="0.25">
      <c r="A45" s="47" t="s">
        <v>478</v>
      </c>
      <c r="B45" s="48">
        <v>2025</v>
      </c>
      <c r="C45" s="48">
        <v>269</v>
      </c>
      <c r="D45" s="48">
        <v>217</v>
      </c>
      <c r="E45" s="48">
        <v>80.67</v>
      </c>
    </row>
    <row r="46" spans="1:5" x14ac:dyDescent="0.25">
      <c r="A46" s="47" t="s">
        <v>541</v>
      </c>
      <c r="B46" s="48">
        <v>2025</v>
      </c>
      <c r="C46" s="48">
        <v>26192</v>
      </c>
      <c r="D46" s="48">
        <v>15993</v>
      </c>
      <c r="E46" s="48">
        <v>61.06</v>
      </c>
    </row>
    <row r="47" spans="1:5" x14ac:dyDescent="0.25">
      <c r="A47" s="51" t="s">
        <v>169</v>
      </c>
      <c r="B47" s="52">
        <v>2026</v>
      </c>
      <c r="C47" s="52">
        <v>27615</v>
      </c>
      <c r="D47" s="52">
        <v>18488</v>
      </c>
      <c r="E47" s="52">
        <v>66.95</v>
      </c>
    </row>
    <row r="48" spans="1:5" x14ac:dyDescent="0.25">
      <c r="A48" s="47" t="s">
        <v>169</v>
      </c>
      <c r="B48" s="48">
        <v>2025</v>
      </c>
      <c r="C48" s="48">
        <v>26192</v>
      </c>
      <c r="D48" s="48">
        <v>18028</v>
      </c>
      <c r="E48" s="48">
        <v>68.83</v>
      </c>
    </row>
    <row r="49" spans="1:5" x14ac:dyDescent="0.25">
      <c r="A49" s="51" t="s">
        <v>344</v>
      </c>
      <c r="B49" s="52">
        <v>2026</v>
      </c>
      <c r="C49" s="52">
        <v>787</v>
      </c>
      <c r="D49" s="52">
        <v>575</v>
      </c>
      <c r="E49" s="52">
        <v>73.06</v>
      </c>
    </row>
    <row r="50" spans="1:5" x14ac:dyDescent="0.25">
      <c r="A50" s="47" t="s">
        <v>345</v>
      </c>
      <c r="B50" s="48">
        <v>2025</v>
      </c>
      <c r="C50" s="48">
        <v>83</v>
      </c>
      <c r="D50" s="48">
        <v>20</v>
      </c>
      <c r="E50" s="48">
        <v>24.1</v>
      </c>
    </row>
    <row r="51" spans="1:5" x14ac:dyDescent="0.25">
      <c r="A51" s="51" t="s">
        <v>364</v>
      </c>
      <c r="B51" s="52">
        <v>2026</v>
      </c>
      <c r="C51" s="52">
        <v>27</v>
      </c>
      <c r="D51" s="52">
        <v>26</v>
      </c>
      <c r="E51" s="52">
        <v>96.3</v>
      </c>
    </row>
    <row r="52" spans="1:5" x14ac:dyDescent="0.25">
      <c r="A52" s="47" t="s">
        <v>364</v>
      </c>
      <c r="B52" s="48">
        <v>2025</v>
      </c>
      <c r="C52" s="48">
        <v>20</v>
      </c>
      <c r="D52" s="48">
        <v>15</v>
      </c>
      <c r="E52" s="48">
        <v>75</v>
      </c>
    </row>
    <row r="53" spans="1:5" x14ac:dyDescent="0.25">
      <c r="A53" s="51" t="s">
        <v>542</v>
      </c>
      <c r="B53" s="52">
        <v>2026</v>
      </c>
      <c r="C53" s="52">
        <v>2051</v>
      </c>
      <c r="D53" s="52">
        <v>1537</v>
      </c>
      <c r="E53" s="52">
        <v>74.94</v>
      </c>
    </row>
    <row r="54" spans="1:5" x14ac:dyDescent="0.25">
      <c r="A54" s="51" t="s">
        <v>482</v>
      </c>
      <c r="B54" s="52">
        <v>2026</v>
      </c>
      <c r="C54" s="52">
        <v>9751</v>
      </c>
      <c r="D54" s="52">
        <v>8277</v>
      </c>
      <c r="E54" s="52">
        <v>84.88</v>
      </c>
    </row>
    <row r="55" spans="1:5" x14ac:dyDescent="0.25">
      <c r="A55" s="47" t="s">
        <v>482</v>
      </c>
      <c r="B55" s="48">
        <v>2025</v>
      </c>
      <c r="C55" s="48">
        <v>8138</v>
      </c>
      <c r="D55" s="48">
        <v>6682</v>
      </c>
      <c r="E55" s="48">
        <v>82.11</v>
      </c>
    </row>
    <row r="56" spans="1:5" ht="25.5" x14ac:dyDescent="0.25">
      <c r="A56" s="47" t="s">
        <v>543</v>
      </c>
      <c r="B56" s="48">
        <v>2025</v>
      </c>
      <c r="C56" s="48">
        <v>86</v>
      </c>
      <c r="D56" s="48">
        <v>82</v>
      </c>
      <c r="E56" s="48">
        <v>95.35</v>
      </c>
    </row>
    <row r="57" spans="1:5" x14ac:dyDescent="0.25">
      <c r="A57" s="51" t="s">
        <v>348</v>
      </c>
      <c r="B57" s="52">
        <v>2026</v>
      </c>
      <c r="C57" s="52">
        <v>16</v>
      </c>
      <c r="D57" s="52">
        <v>8</v>
      </c>
      <c r="E57" s="52">
        <v>50</v>
      </c>
    </row>
    <row r="58" spans="1:5" x14ac:dyDescent="0.25">
      <c r="A58" s="47" t="s">
        <v>348</v>
      </c>
      <c r="B58" s="48">
        <v>2025</v>
      </c>
      <c r="C58" s="48">
        <v>29</v>
      </c>
      <c r="D58" s="48">
        <v>5</v>
      </c>
      <c r="E58" s="48">
        <v>17.239999999999998</v>
      </c>
    </row>
    <row r="59" spans="1:5" ht="25.5" x14ac:dyDescent="0.25">
      <c r="A59" s="51" t="s">
        <v>349</v>
      </c>
      <c r="B59" s="52">
        <v>2026</v>
      </c>
      <c r="C59" s="52">
        <v>3656</v>
      </c>
      <c r="D59" s="52">
        <v>2901</v>
      </c>
      <c r="E59" s="52">
        <v>79.349999999999994</v>
      </c>
    </row>
    <row r="60" spans="1:5" x14ac:dyDescent="0.25">
      <c r="A60" s="51" t="s">
        <v>173</v>
      </c>
      <c r="B60" s="52">
        <v>2026</v>
      </c>
      <c r="C60" s="52">
        <v>55</v>
      </c>
      <c r="D60" s="52">
        <v>21</v>
      </c>
      <c r="E60" s="52">
        <v>38.18</v>
      </c>
    </row>
    <row r="61" spans="1:5" x14ac:dyDescent="0.25">
      <c r="A61" s="47" t="s">
        <v>173</v>
      </c>
      <c r="B61" s="48">
        <v>2025</v>
      </c>
      <c r="C61" s="48">
        <v>52</v>
      </c>
      <c r="D61" s="48">
        <v>34</v>
      </c>
      <c r="E61" s="48">
        <v>65.38</v>
      </c>
    </row>
    <row r="62" spans="1:5" x14ac:dyDescent="0.25">
      <c r="A62" s="51" t="s">
        <v>485</v>
      </c>
      <c r="B62" s="52">
        <v>2026</v>
      </c>
      <c r="C62" s="52">
        <v>120766</v>
      </c>
      <c r="D62" s="52">
        <v>104827</v>
      </c>
      <c r="E62" s="52">
        <v>86.8</v>
      </c>
    </row>
    <row r="63" spans="1:5" x14ac:dyDescent="0.25">
      <c r="A63" s="47" t="s">
        <v>485</v>
      </c>
      <c r="B63" s="48">
        <v>2025</v>
      </c>
      <c r="C63" s="48">
        <v>125085</v>
      </c>
      <c r="D63" s="48">
        <v>101203</v>
      </c>
      <c r="E63" s="48">
        <v>80.91</v>
      </c>
    </row>
    <row r="64" spans="1:5" x14ac:dyDescent="0.25">
      <c r="A64" s="51" t="s">
        <v>544</v>
      </c>
      <c r="B64" s="52">
        <v>2026</v>
      </c>
      <c r="C64" s="52">
        <v>20585</v>
      </c>
      <c r="D64" s="52">
        <v>16144</v>
      </c>
      <c r="E64" s="52">
        <v>78.430000000000007</v>
      </c>
    </row>
    <row r="65" spans="1:5" x14ac:dyDescent="0.25">
      <c r="A65" s="47" t="s">
        <v>544</v>
      </c>
      <c r="B65" s="48">
        <v>2025</v>
      </c>
      <c r="C65" s="48">
        <v>20088</v>
      </c>
      <c r="D65" s="48">
        <v>17236</v>
      </c>
      <c r="E65" s="48">
        <v>85.8</v>
      </c>
    </row>
    <row r="66" spans="1:5" x14ac:dyDescent="0.25">
      <c r="A66" s="51" t="s">
        <v>351</v>
      </c>
      <c r="B66" s="52">
        <v>2026</v>
      </c>
      <c r="C66" s="52">
        <v>121963</v>
      </c>
      <c r="D66" s="52">
        <v>64052</v>
      </c>
      <c r="E66" s="52">
        <v>52.52</v>
      </c>
    </row>
    <row r="67" spans="1:5" x14ac:dyDescent="0.25">
      <c r="A67" s="47" t="s">
        <v>545</v>
      </c>
      <c r="B67" s="48">
        <v>2025</v>
      </c>
      <c r="C67" s="48">
        <v>100097</v>
      </c>
      <c r="D67" s="48">
        <v>58380</v>
      </c>
      <c r="E67" s="48">
        <v>58.32</v>
      </c>
    </row>
    <row r="68" spans="1:5" x14ac:dyDescent="0.25">
      <c r="A68" s="51" t="s">
        <v>352</v>
      </c>
      <c r="B68" s="52">
        <v>2026</v>
      </c>
      <c r="C68" s="52">
        <v>143</v>
      </c>
      <c r="D68" s="52">
        <v>114</v>
      </c>
      <c r="E68" s="52">
        <v>79.72</v>
      </c>
    </row>
    <row r="69" spans="1:5" x14ac:dyDescent="0.25">
      <c r="A69" s="47" t="s">
        <v>352</v>
      </c>
      <c r="B69" s="48">
        <v>2025</v>
      </c>
      <c r="C69" s="48">
        <v>39</v>
      </c>
      <c r="D69" s="48">
        <v>35</v>
      </c>
      <c r="E69" s="48">
        <v>89.74</v>
      </c>
    </row>
    <row r="70" spans="1:5" x14ac:dyDescent="0.25">
      <c r="A70" s="51" t="s">
        <v>189</v>
      </c>
      <c r="B70" s="52">
        <v>2026</v>
      </c>
      <c r="C70" s="52">
        <v>87666</v>
      </c>
      <c r="D70" s="52">
        <v>60369</v>
      </c>
      <c r="E70" s="52">
        <v>68.86</v>
      </c>
    </row>
    <row r="71" spans="1:5" x14ac:dyDescent="0.25">
      <c r="A71" s="47" t="s">
        <v>189</v>
      </c>
      <c r="B71" s="48">
        <v>2025</v>
      </c>
      <c r="C71" s="48">
        <v>100097</v>
      </c>
      <c r="D71" s="48">
        <v>66873</v>
      </c>
      <c r="E71" s="48">
        <v>66.81</v>
      </c>
    </row>
    <row r="72" spans="1:5" x14ac:dyDescent="0.25">
      <c r="A72" s="51" t="s">
        <v>354</v>
      </c>
      <c r="B72" s="52">
        <v>2026</v>
      </c>
      <c r="C72" s="52">
        <v>5895</v>
      </c>
      <c r="D72" s="52">
        <v>3952</v>
      </c>
      <c r="E72" s="52">
        <v>67.040000000000006</v>
      </c>
    </row>
    <row r="73" spans="1:5" x14ac:dyDescent="0.25">
      <c r="A73" s="51" t="s">
        <v>488</v>
      </c>
      <c r="B73" s="52">
        <v>2026</v>
      </c>
      <c r="C73" s="52">
        <v>3</v>
      </c>
      <c r="D73" s="52">
        <v>3</v>
      </c>
      <c r="E73" s="52">
        <v>100</v>
      </c>
    </row>
    <row r="74" spans="1:5" x14ac:dyDescent="0.25">
      <c r="A74" s="51" t="s">
        <v>355</v>
      </c>
      <c r="B74" s="52">
        <v>2026</v>
      </c>
      <c r="C74" s="52">
        <v>9</v>
      </c>
      <c r="D74" s="52">
        <v>8</v>
      </c>
      <c r="E74" s="52">
        <v>88.89</v>
      </c>
    </row>
    <row r="75" spans="1:5" x14ac:dyDescent="0.25">
      <c r="A75" s="51" t="s">
        <v>356</v>
      </c>
      <c r="B75" s="52">
        <v>2026</v>
      </c>
      <c r="C75" s="52">
        <v>796</v>
      </c>
      <c r="D75" s="52">
        <v>621</v>
      </c>
      <c r="E75" s="52">
        <v>78.02</v>
      </c>
    </row>
    <row r="76" spans="1:5" x14ac:dyDescent="0.25">
      <c r="A76" s="47" t="s">
        <v>356</v>
      </c>
      <c r="B76" s="48">
        <v>2025</v>
      </c>
      <c r="C76" s="48">
        <v>609</v>
      </c>
      <c r="D76" s="48">
        <v>513</v>
      </c>
      <c r="E76" s="48">
        <v>84.24</v>
      </c>
    </row>
    <row r="77" spans="1:5" x14ac:dyDescent="0.25">
      <c r="A77" s="51" t="s">
        <v>357</v>
      </c>
      <c r="B77" s="52">
        <v>2026</v>
      </c>
      <c r="C77" s="52">
        <v>1175</v>
      </c>
      <c r="D77" s="52">
        <v>1083</v>
      </c>
      <c r="E77" s="52">
        <v>92.17</v>
      </c>
    </row>
    <row r="78" spans="1:5" x14ac:dyDescent="0.25">
      <c r="A78" s="47" t="s">
        <v>357</v>
      </c>
      <c r="B78" s="48">
        <v>2025</v>
      </c>
      <c r="C78" s="48">
        <v>1292</v>
      </c>
      <c r="D78" s="48">
        <v>1198</v>
      </c>
      <c r="E78" s="48">
        <v>92.72</v>
      </c>
    </row>
    <row r="79" spans="1:5" x14ac:dyDescent="0.25">
      <c r="A79" s="51" t="s">
        <v>546</v>
      </c>
      <c r="B79" s="52">
        <v>2026</v>
      </c>
      <c r="C79" s="52">
        <v>22</v>
      </c>
      <c r="D79" s="52">
        <v>17</v>
      </c>
      <c r="E79" s="52">
        <v>77.27</v>
      </c>
    </row>
    <row r="80" spans="1:5" x14ac:dyDescent="0.25">
      <c r="A80" s="47" t="s">
        <v>546</v>
      </c>
      <c r="B80" s="48">
        <v>2025</v>
      </c>
      <c r="C80" s="48">
        <v>21</v>
      </c>
      <c r="D80" s="48">
        <v>15</v>
      </c>
      <c r="E80" s="48">
        <v>71.430000000000007</v>
      </c>
    </row>
    <row r="81" spans="1:5" x14ac:dyDescent="0.25">
      <c r="A81" s="47" t="s">
        <v>358</v>
      </c>
      <c r="B81" s="48">
        <v>2025</v>
      </c>
      <c r="C81" s="48">
        <v>26</v>
      </c>
      <c r="D81" s="48">
        <v>26</v>
      </c>
      <c r="E81" s="48">
        <v>100</v>
      </c>
    </row>
    <row r="82" spans="1:5" x14ac:dyDescent="0.25">
      <c r="A82" s="51" t="s">
        <v>547</v>
      </c>
      <c r="B82" s="52">
        <v>2026</v>
      </c>
      <c r="C82" s="52">
        <v>120788</v>
      </c>
      <c r="D82" s="52">
        <v>108975</v>
      </c>
      <c r="E82" s="52">
        <v>90.22</v>
      </c>
    </row>
    <row r="83" spans="1:5" x14ac:dyDescent="0.25">
      <c r="A83" s="47" t="s">
        <v>547</v>
      </c>
      <c r="B83" s="48">
        <v>2025</v>
      </c>
      <c r="C83" s="48">
        <v>125106</v>
      </c>
      <c r="D83" s="48">
        <v>108316</v>
      </c>
      <c r="E83" s="48">
        <v>86.58</v>
      </c>
    </row>
    <row r="84" spans="1:5" x14ac:dyDescent="0.25">
      <c r="A84" s="51" t="s">
        <v>490</v>
      </c>
      <c r="B84" s="52">
        <v>2026</v>
      </c>
      <c r="C84" s="52">
        <v>121941</v>
      </c>
      <c r="D84" s="52">
        <v>110100</v>
      </c>
      <c r="E84" s="52">
        <v>90.29</v>
      </c>
    </row>
    <row r="85" spans="1:5" x14ac:dyDescent="0.25">
      <c r="A85" s="47" t="s">
        <v>490</v>
      </c>
      <c r="B85" s="48">
        <v>2025</v>
      </c>
      <c r="C85" s="48">
        <v>126377</v>
      </c>
      <c r="D85" s="48">
        <v>107108</v>
      </c>
      <c r="E85" s="48">
        <v>84.75</v>
      </c>
    </row>
    <row r="86" spans="1:5" x14ac:dyDescent="0.25">
      <c r="A86" s="51" t="s">
        <v>548</v>
      </c>
      <c r="B86" s="52">
        <v>2026</v>
      </c>
      <c r="C86" s="52">
        <v>22</v>
      </c>
      <c r="D86" s="52">
        <v>11</v>
      </c>
      <c r="E86" s="52">
        <v>50</v>
      </c>
    </row>
    <row r="87" spans="1:5" x14ac:dyDescent="0.25">
      <c r="A87" s="47" t="s">
        <v>548</v>
      </c>
      <c r="B87" s="48">
        <v>2025</v>
      </c>
      <c r="C87" s="48">
        <v>21</v>
      </c>
      <c r="D87" s="48">
        <v>15</v>
      </c>
      <c r="E87" s="48">
        <v>71.430000000000007</v>
      </c>
    </row>
    <row r="88" spans="1:5" x14ac:dyDescent="0.25">
      <c r="A88" s="51" t="s">
        <v>492</v>
      </c>
      <c r="B88" s="52">
        <v>2026</v>
      </c>
      <c r="C88" s="52">
        <v>5</v>
      </c>
      <c r="D88" s="52">
        <v>2</v>
      </c>
      <c r="E88" s="52">
        <v>40</v>
      </c>
    </row>
    <row r="89" spans="1:5" x14ac:dyDescent="0.25">
      <c r="A89" s="47" t="s">
        <v>492</v>
      </c>
      <c r="B89" s="48">
        <v>2025</v>
      </c>
      <c r="C89" s="48">
        <v>6</v>
      </c>
      <c r="D89" s="48">
        <v>1</v>
      </c>
      <c r="E89" s="48">
        <v>16.670000000000002</v>
      </c>
    </row>
    <row r="90" spans="1:5" x14ac:dyDescent="0.25">
      <c r="A90" s="51" t="s">
        <v>493</v>
      </c>
      <c r="B90" s="52">
        <v>2026</v>
      </c>
      <c r="C90" s="52">
        <v>227</v>
      </c>
      <c r="D90" s="52">
        <v>224</v>
      </c>
      <c r="E90" s="52">
        <v>98.68</v>
      </c>
    </row>
  </sheetData>
  <autoFilter ref="A3:E90" xr:uid="{00000000-0009-0000-0000-00002B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3" width="16" customWidth="1"/>
    <col min="4" max="4" width="14" customWidth="1"/>
    <col min="5" max="5" width="10" customWidth="1"/>
  </cols>
  <sheetData>
    <row r="1" spans="1:5" ht="21.75" customHeight="1" x14ac:dyDescent="0.25">
      <c r="A1" s="2" t="s">
        <v>549</v>
      </c>
      <c r="B1" s="2"/>
      <c r="C1" s="2"/>
      <c r="D1" s="2"/>
      <c r="E1" s="2"/>
    </row>
    <row r="3" spans="1:5" x14ac:dyDescent="0.25">
      <c r="A3" s="42" t="s">
        <v>121</v>
      </c>
      <c r="B3" s="42" t="s">
        <v>550</v>
      </c>
      <c r="C3" s="42" t="s">
        <v>254</v>
      </c>
      <c r="D3" s="42" t="s">
        <v>255</v>
      </c>
      <c r="E3" s="42" t="s">
        <v>132</v>
      </c>
    </row>
    <row r="4" spans="1:5" x14ac:dyDescent="0.25">
      <c r="A4" s="51">
        <v>2026</v>
      </c>
      <c r="B4" s="52">
        <v>89872</v>
      </c>
      <c r="C4" s="52">
        <v>87093</v>
      </c>
      <c r="D4" s="52">
        <v>37803</v>
      </c>
      <c r="E4" s="52">
        <v>43.41</v>
      </c>
    </row>
    <row r="5" spans="1:5" x14ac:dyDescent="0.25">
      <c r="A5" s="47">
        <v>2025</v>
      </c>
      <c r="B5" s="48">
        <v>98761</v>
      </c>
      <c r="C5" s="48">
        <v>96034</v>
      </c>
      <c r="D5" s="48">
        <v>44250</v>
      </c>
      <c r="E5" s="48">
        <v>46.08</v>
      </c>
    </row>
    <row r="6" spans="1:5" x14ac:dyDescent="0.25">
      <c r="A6" s="53" t="s">
        <v>125</v>
      </c>
      <c r="B6" s="54">
        <v>-8889</v>
      </c>
      <c r="C6" s="54">
        <v>-8941</v>
      </c>
      <c r="D6" s="54">
        <v>-6447</v>
      </c>
      <c r="E6" s="54">
        <v>-2.67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11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2" customWidth="1"/>
    <col min="3" max="3" width="30" customWidth="1"/>
    <col min="4" max="4" width="8" customWidth="1"/>
    <col min="5" max="7" width="10" customWidth="1"/>
  </cols>
  <sheetData>
    <row r="1" spans="1:7" ht="21.75" customHeight="1" x14ac:dyDescent="0.25">
      <c r="A1" s="2" t="s">
        <v>551</v>
      </c>
      <c r="B1" s="2"/>
      <c r="C1" s="2"/>
      <c r="D1" s="2"/>
      <c r="E1" s="2"/>
      <c r="F1" s="2"/>
    </row>
    <row r="2" spans="1:7" ht="15.75" customHeight="1" x14ac:dyDescent="0.25">
      <c r="A2" s="1" t="s">
        <v>552</v>
      </c>
      <c r="B2" s="1"/>
      <c r="C2" s="1"/>
      <c r="D2" s="1"/>
      <c r="E2" s="1"/>
      <c r="F2" s="1"/>
    </row>
    <row r="3" spans="1:7" ht="25.5" x14ac:dyDescent="0.25">
      <c r="A3" s="42" t="s">
        <v>121</v>
      </c>
      <c r="B3" s="42" t="s">
        <v>195</v>
      </c>
      <c r="C3" s="42" t="s">
        <v>130</v>
      </c>
      <c r="D3" s="42" t="s">
        <v>229</v>
      </c>
      <c r="E3" s="42" t="s">
        <v>122</v>
      </c>
      <c r="F3" s="42" t="s">
        <v>306</v>
      </c>
      <c r="G3" s="42" t="s">
        <v>132</v>
      </c>
    </row>
    <row r="4" spans="1:7" x14ac:dyDescent="0.25">
      <c r="A4" s="52">
        <v>2026</v>
      </c>
      <c r="B4" s="51" t="s">
        <v>244</v>
      </c>
      <c r="C4" s="51" t="s">
        <v>198</v>
      </c>
      <c r="D4" s="51" t="s">
        <v>232</v>
      </c>
      <c r="E4" s="52">
        <v>26143</v>
      </c>
      <c r="F4" s="52">
        <v>11203</v>
      </c>
      <c r="G4" s="52">
        <v>42.85</v>
      </c>
    </row>
    <row r="5" spans="1:7" x14ac:dyDescent="0.25">
      <c r="A5" s="52">
        <v>2026</v>
      </c>
      <c r="B5" s="51" t="s">
        <v>244</v>
      </c>
      <c r="C5" s="51" t="s">
        <v>198</v>
      </c>
      <c r="D5" s="51" t="s">
        <v>233</v>
      </c>
      <c r="E5" s="52">
        <v>25832</v>
      </c>
      <c r="F5" s="52">
        <v>15970</v>
      </c>
      <c r="G5" s="52">
        <v>61.82</v>
      </c>
    </row>
    <row r="6" spans="1:7" x14ac:dyDescent="0.25">
      <c r="A6" s="52">
        <v>2026</v>
      </c>
      <c r="B6" s="51" t="s">
        <v>244</v>
      </c>
      <c r="C6" s="51" t="s">
        <v>198</v>
      </c>
      <c r="D6" s="51" t="s">
        <v>234</v>
      </c>
      <c r="E6" s="52">
        <v>51975</v>
      </c>
      <c r="F6" s="52">
        <v>27173</v>
      </c>
      <c r="G6" s="52">
        <v>52.28</v>
      </c>
    </row>
    <row r="7" spans="1:7" x14ac:dyDescent="0.25">
      <c r="A7" s="52">
        <v>2026</v>
      </c>
      <c r="B7" s="51" t="s">
        <v>244</v>
      </c>
      <c r="C7" s="51" t="s">
        <v>309</v>
      </c>
      <c r="D7" s="51" t="s">
        <v>232</v>
      </c>
      <c r="E7" s="52">
        <v>2793</v>
      </c>
      <c r="F7" s="52">
        <v>285</v>
      </c>
      <c r="G7" s="52">
        <v>10.199999999999999</v>
      </c>
    </row>
    <row r="8" spans="1:7" x14ac:dyDescent="0.25">
      <c r="A8" s="52">
        <v>2026</v>
      </c>
      <c r="B8" s="51" t="s">
        <v>244</v>
      </c>
      <c r="C8" s="51" t="s">
        <v>309</v>
      </c>
      <c r="D8" s="51" t="s">
        <v>233</v>
      </c>
      <c r="E8" s="52">
        <v>8463</v>
      </c>
      <c r="F8" s="52">
        <v>1823</v>
      </c>
      <c r="G8" s="52">
        <v>21.54</v>
      </c>
    </row>
    <row r="9" spans="1:7" x14ac:dyDescent="0.25">
      <c r="A9" s="52">
        <v>2026</v>
      </c>
      <c r="B9" s="51" t="s">
        <v>244</v>
      </c>
      <c r="C9" s="51" t="s">
        <v>309</v>
      </c>
      <c r="D9" s="51" t="s">
        <v>234</v>
      </c>
      <c r="E9" s="52">
        <v>11256</v>
      </c>
      <c r="F9" s="52">
        <v>2108</v>
      </c>
      <c r="G9" s="52">
        <v>18.73</v>
      </c>
    </row>
    <row r="10" spans="1:7" x14ac:dyDescent="0.25">
      <c r="A10" s="52">
        <v>2026</v>
      </c>
      <c r="B10" s="51" t="s">
        <v>244</v>
      </c>
      <c r="C10" s="51" t="s">
        <v>374</v>
      </c>
      <c r="D10" s="51" t="s">
        <v>232</v>
      </c>
      <c r="E10" s="52">
        <v>31</v>
      </c>
      <c r="F10" s="52">
        <v>31</v>
      </c>
      <c r="G10" s="52">
        <v>100</v>
      </c>
    </row>
    <row r="11" spans="1:7" x14ac:dyDescent="0.25">
      <c r="A11" s="52">
        <v>2026</v>
      </c>
      <c r="B11" s="51" t="s">
        <v>244</v>
      </c>
      <c r="C11" s="51" t="s">
        <v>374</v>
      </c>
      <c r="D11" s="51" t="s">
        <v>233</v>
      </c>
      <c r="E11" s="52">
        <v>33</v>
      </c>
      <c r="F11" s="52">
        <v>33</v>
      </c>
      <c r="G11" s="52">
        <v>100</v>
      </c>
    </row>
    <row r="12" spans="1:7" x14ac:dyDescent="0.25">
      <c r="A12" s="52">
        <v>2026</v>
      </c>
      <c r="B12" s="51" t="s">
        <v>244</v>
      </c>
      <c r="C12" s="51" t="s">
        <v>374</v>
      </c>
      <c r="D12" s="51" t="s">
        <v>234</v>
      </c>
      <c r="E12" s="52">
        <v>64</v>
      </c>
      <c r="F12" s="52">
        <v>64</v>
      </c>
      <c r="G12" s="52">
        <v>100</v>
      </c>
    </row>
    <row r="13" spans="1:7" x14ac:dyDescent="0.25">
      <c r="A13" s="52">
        <v>2026</v>
      </c>
      <c r="B13" s="51" t="s">
        <v>244</v>
      </c>
      <c r="C13" s="51" t="s">
        <v>553</v>
      </c>
      <c r="D13" s="51" t="s">
        <v>232</v>
      </c>
      <c r="E13" s="52">
        <v>356</v>
      </c>
      <c r="F13" s="52">
        <v>115</v>
      </c>
      <c r="G13" s="52">
        <v>32.299999999999997</v>
      </c>
    </row>
    <row r="14" spans="1:7" x14ac:dyDescent="0.25">
      <c r="A14" s="52">
        <v>2026</v>
      </c>
      <c r="B14" s="51" t="s">
        <v>244</v>
      </c>
      <c r="C14" s="51" t="s">
        <v>553</v>
      </c>
      <c r="D14" s="51" t="s">
        <v>233</v>
      </c>
      <c r="E14" s="52">
        <v>401</v>
      </c>
      <c r="F14" s="52">
        <v>264</v>
      </c>
      <c r="G14" s="52">
        <v>65.84</v>
      </c>
    </row>
    <row r="15" spans="1:7" x14ac:dyDescent="0.25">
      <c r="A15" s="52">
        <v>2026</v>
      </c>
      <c r="B15" s="51" t="s">
        <v>244</v>
      </c>
      <c r="C15" s="51" t="s">
        <v>553</v>
      </c>
      <c r="D15" s="51" t="s">
        <v>234</v>
      </c>
      <c r="E15" s="52">
        <v>757</v>
      </c>
      <c r="F15" s="52">
        <v>379</v>
      </c>
      <c r="G15" s="52">
        <v>50.07</v>
      </c>
    </row>
    <row r="16" spans="1:7" ht="25.5" x14ac:dyDescent="0.25">
      <c r="A16" s="52">
        <v>2026</v>
      </c>
      <c r="B16" s="51" t="s">
        <v>244</v>
      </c>
      <c r="C16" s="51" t="s">
        <v>554</v>
      </c>
      <c r="D16" s="51" t="s">
        <v>232</v>
      </c>
      <c r="E16" s="52">
        <v>149</v>
      </c>
      <c r="F16" s="52">
        <v>33</v>
      </c>
      <c r="G16" s="52">
        <v>22.15</v>
      </c>
    </row>
    <row r="17" spans="1:7" ht="25.5" x14ac:dyDescent="0.25">
      <c r="A17" s="52">
        <v>2026</v>
      </c>
      <c r="B17" s="51" t="s">
        <v>244</v>
      </c>
      <c r="C17" s="51" t="s">
        <v>554</v>
      </c>
      <c r="D17" s="51" t="s">
        <v>233</v>
      </c>
      <c r="E17" s="52">
        <v>0</v>
      </c>
      <c r="F17" s="52">
        <v>0</v>
      </c>
      <c r="G17" s="52">
        <v>0</v>
      </c>
    </row>
    <row r="18" spans="1:7" ht="25.5" x14ac:dyDescent="0.25">
      <c r="A18" s="52">
        <v>2026</v>
      </c>
      <c r="B18" s="51" t="s">
        <v>244</v>
      </c>
      <c r="C18" s="51" t="s">
        <v>554</v>
      </c>
      <c r="D18" s="51" t="s">
        <v>234</v>
      </c>
      <c r="E18" s="52">
        <v>149</v>
      </c>
      <c r="F18" s="52">
        <v>33</v>
      </c>
      <c r="G18" s="52">
        <v>22.15</v>
      </c>
    </row>
    <row r="19" spans="1:7" x14ac:dyDescent="0.25">
      <c r="A19" s="52">
        <v>2026</v>
      </c>
      <c r="B19" s="51" t="s">
        <v>244</v>
      </c>
      <c r="C19" s="51" t="s">
        <v>555</v>
      </c>
      <c r="D19" s="51" t="s">
        <v>232</v>
      </c>
      <c r="E19" s="52">
        <v>2</v>
      </c>
      <c r="F19" s="52">
        <v>0</v>
      </c>
      <c r="G19" s="52">
        <v>0</v>
      </c>
    </row>
    <row r="20" spans="1:7" x14ac:dyDescent="0.25">
      <c r="A20" s="52">
        <v>2026</v>
      </c>
      <c r="B20" s="51" t="s">
        <v>244</v>
      </c>
      <c r="C20" s="51" t="s">
        <v>555</v>
      </c>
      <c r="D20" s="51" t="s">
        <v>233</v>
      </c>
      <c r="E20" s="52">
        <v>547</v>
      </c>
      <c r="F20" s="52">
        <v>211</v>
      </c>
      <c r="G20" s="52">
        <v>38.57</v>
      </c>
    </row>
    <row r="21" spans="1:7" x14ac:dyDescent="0.25">
      <c r="A21" s="52">
        <v>2026</v>
      </c>
      <c r="B21" s="51" t="s">
        <v>244</v>
      </c>
      <c r="C21" s="51" t="s">
        <v>555</v>
      </c>
      <c r="D21" s="51" t="s">
        <v>234</v>
      </c>
      <c r="E21" s="52">
        <v>549</v>
      </c>
      <c r="F21" s="52">
        <v>211</v>
      </c>
      <c r="G21" s="52">
        <v>38.43</v>
      </c>
    </row>
    <row r="22" spans="1:7" x14ac:dyDescent="0.25">
      <c r="A22" s="52">
        <v>2026</v>
      </c>
      <c r="B22" s="51" t="s">
        <v>244</v>
      </c>
      <c r="C22" s="51" t="s">
        <v>556</v>
      </c>
      <c r="D22" s="51" t="s">
        <v>232</v>
      </c>
      <c r="E22" s="52">
        <v>2221</v>
      </c>
      <c r="F22" s="52">
        <v>719</v>
      </c>
      <c r="G22" s="52">
        <v>32.369999999999997</v>
      </c>
    </row>
    <row r="23" spans="1:7" x14ac:dyDescent="0.25">
      <c r="A23" s="52">
        <v>2026</v>
      </c>
      <c r="B23" s="51" t="s">
        <v>244</v>
      </c>
      <c r="C23" s="51" t="s">
        <v>556</v>
      </c>
      <c r="D23" s="51" t="s">
        <v>233</v>
      </c>
      <c r="E23" s="52">
        <v>926</v>
      </c>
      <c r="F23" s="52">
        <v>616</v>
      </c>
      <c r="G23" s="52">
        <v>66.52</v>
      </c>
    </row>
    <row r="24" spans="1:7" x14ac:dyDescent="0.25">
      <c r="A24" s="52">
        <v>2026</v>
      </c>
      <c r="B24" s="51" t="s">
        <v>244</v>
      </c>
      <c r="C24" s="51" t="s">
        <v>556</v>
      </c>
      <c r="D24" s="51" t="s">
        <v>234</v>
      </c>
      <c r="E24" s="52">
        <v>3147</v>
      </c>
      <c r="F24" s="52">
        <v>1335</v>
      </c>
      <c r="G24" s="52">
        <v>42.42</v>
      </c>
    </row>
    <row r="25" spans="1:7" x14ac:dyDescent="0.25">
      <c r="A25" s="52">
        <v>2026</v>
      </c>
      <c r="B25" s="51" t="s">
        <v>244</v>
      </c>
      <c r="C25" s="51" t="s">
        <v>452</v>
      </c>
      <c r="D25" s="51" t="s">
        <v>232</v>
      </c>
      <c r="E25" s="52">
        <v>31695</v>
      </c>
      <c r="F25" s="52">
        <v>12386</v>
      </c>
      <c r="G25" s="52">
        <v>39.08</v>
      </c>
    </row>
    <row r="26" spans="1:7" x14ac:dyDescent="0.25">
      <c r="A26" s="52">
        <v>2026</v>
      </c>
      <c r="B26" s="51" t="s">
        <v>244</v>
      </c>
      <c r="C26" s="51" t="s">
        <v>452</v>
      </c>
      <c r="D26" s="51" t="s">
        <v>233</v>
      </c>
      <c r="E26" s="52">
        <v>36202</v>
      </c>
      <c r="F26" s="52">
        <v>18917</v>
      </c>
      <c r="G26" s="52">
        <v>52.25</v>
      </c>
    </row>
    <row r="27" spans="1:7" x14ac:dyDescent="0.25">
      <c r="A27" s="52">
        <v>2026</v>
      </c>
      <c r="B27" s="51" t="s">
        <v>244</v>
      </c>
      <c r="C27" s="51" t="s">
        <v>452</v>
      </c>
      <c r="D27" s="51" t="s">
        <v>234</v>
      </c>
      <c r="E27" s="52">
        <v>67897</v>
      </c>
      <c r="F27" s="52">
        <v>31303</v>
      </c>
      <c r="G27" s="52">
        <v>46.1</v>
      </c>
    </row>
    <row r="28" spans="1:7" x14ac:dyDescent="0.25">
      <c r="A28" s="52">
        <v>2026</v>
      </c>
      <c r="B28" s="51" t="s">
        <v>238</v>
      </c>
      <c r="C28" s="51" t="s">
        <v>198</v>
      </c>
      <c r="D28" s="51" t="s">
        <v>232</v>
      </c>
      <c r="E28" s="52">
        <v>7442</v>
      </c>
      <c r="F28" s="52">
        <v>2049</v>
      </c>
      <c r="G28" s="52">
        <v>27.53</v>
      </c>
    </row>
    <row r="29" spans="1:7" x14ac:dyDescent="0.25">
      <c r="A29" s="52">
        <v>2026</v>
      </c>
      <c r="B29" s="51" t="s">
        <v>238</v>
      </c>
      <c r="C29" s="51" t="s">
        <v>198</v>
      </c>
      <c r="D29" s="51" t="s">
        <v>233</v>
      </c>
      <c r="E29" s="52">
        <v>7302</v>
      </c>
      <c r="F29" s="52">
        <v>3737</v>
      </c>
      <c r="G29" s="52">
        <v>51.18</v>
      </c>
    </row>
    <row r="30" spans="1:7" x14ac:dyDescent="0.25">
      <c r="A30" s="52">
        <v>2026</v>
      </c>
      <c r="B30" s="51" t="s">
        <v>238</v>
      </c>
      <c r="C30" s="51" t="s">
        <v>198</v>
      </c>
      <c r="D30" s="51" t="s">
        <v>234</v>
      </c>
      <c r="E30" s="52">
        <v>14744</v>
      </c>
      <c r="F30" s="52">
        <v>5786</v>
      </c>
      <c r="G30" s="52">
        <v>39.24</v>
      </c>
    </row>
    <row r="31" spans="1:7" x14ac:dyDescent="0.25">
      <c r="A31" s="52">
        <v>2026</v>
      </c>
      <c r="B31" s="51" t="s">
        <v>238</v>
      </c>
      <c r="C31" s="51" t="s">
        <v>309</v>
      </c>
      <c r="D31" s="51" t="s">
        <v>232</v>
      </c>
      <c r="E31" s="52">
        <v>2348</v>
      </c>
      <c r="F31" s="52">
        <v>301</v>
      </c>
      <c r="G31" s="52">
        <v>12.82</v>
      </c>
    </row>
    <row r="32" spans="1:7" x14ac:dyDescent="0.25">
      <c r="A32" s="52">
        <v>2026</v>
      </c>
      <c r="B32" s="51" t="s">
        <v>238</v>
      </c>
      <c r="C32" s="51" t="s">
        <v>309</v>
      </c>
      <c r="D32" s="51" t="s">
        <v>233</v>
      </c>
      <c r="E32" s="52">
        <v>1860</v>
      </c>
      <c r="F32" s="52">
        <v>360</v>
      </c>
      <c r="G32" s="52">
        <v>19.350000000000001</v>
      </c>
    </row>
    <row r="33" spans="1:7" x14ac:dyDescent="0.25">
      <c r="A33" s="52">
        <v>2026</v>
      </c>
      <c r="B33" s="51" t="s">
        <v>238</v>
      </c>
      <c r="C33" s="51" t="s">
        <v>309</v>
      </c>
      <c r="D33" s="51" t="s">
        <v>234</v>
      </c>
      <c r="E33" s="52">
        <v>4208</v>
      </c>
      <c r="F33" s="52">
        <v>661</v>
      </c>
      <c r="G33" s="52">
        <v>15.71</v>
      </c>
    </row>
    <row r="34" spans="1:7" x14ac:dyDescent="0.25">
      <c r="A34" s="52">
        <v>2026</v>
      </c>
      <c r="B34" s="51" t="s">
        <v>238</v>
      </c>
      <c r="C34" s="51" t="s">
        <v>374</v>
      </c>
      <c r="D34" s="51" t="s">
        <v>232</v>
      </c>
      <c r="E34" s="52">
        <v>14</v>
      </c>
      <c r="F34" s="52">
        <v>14</v>
      </c>
      <c r="G34" s="52">
        <v>100</v>
      </c>
    </row>
    <row r="35" spans="1:7" x14ac:dyDescent="0.25">
      <c r="A35" s="52">
        <v>2026</v>
      </c>
      <c r="B35" s="51" t="s">
        <v>238</v>
      </c>
      <c r="C35" s="51" t="s">
        <v>374</v>
      </c>
      <c r="D35" s="51" t="s">
        <v>233</v>
      </c>
      <c r="E35" s="52">
        <v>9</v>
      </c>
      <c r="F35" s="52">
        <v>9</v>
      </c>
      <c r="G35" s="52">
        <v>100</v>
      </c>
    </row>
    <row r="36" spans="1:7" x14ac:dyDescent="0.25">
      <c r="A36" s="52">
        <v>2026</v>
      </c>
      <c r="B36" s="51" t="s">
        <v>238</v>
      </c>
      <c r="C36" s="51" t="s">
        <v>374</v>
      </c>
      <c r="D36" s="51" t="s">
        <v>234</v>
      </c>
      <c r="E36" s="52">
        <v>23</v>
      </c>
      <c r="F36" s="52">
        <v>23</v>
      </c>
      <c r="G36" s="52">
        <v>100</v>
      </c>
    </row>
    <row r="37" spans="1:7" x14ac:dyDescent="0.25">
      <c r="A37" s="52">
        <v>2026</v>
      </c>
      <c r="B37" s="51" t="s">
        <v>238</v>
      </c>
      <c r="C37" s="51" t="s">
        <v>553</v>
      </c>
      <c r="D37" s="51" t="s">
        <v>232</v>
      </c>
      <c r="E37" s="52">
        <v>10</v>
      </c>
      <c r="F37" s="52">
        <v>0</v>
      </c>
      <c r="G37" s="52">
        <v>0</v>
      </c>
    </row>
    <row r="38" spans="1:7" x14ac:dyDescent="0.25">
      <c r="A38" s="52">
        <v>2026</v>
      </c>
      <c r="B38" s="51" t="s">
        <v>238</v>
      </c>
      <c r="C38" s="51" t="s">
        <v>553</v>
      </c>
      <c r="D38" s="51" t="s">
        <v>233</v>
      </c>
      <c r="E38" s="52">
        <v>18</v>
      </c>
      <c r="F38" s="52">
        <v>10</v>
      </c>
      <c r="G38" s="52">
        <v>55.56</v>
      </c>
    </row>
    <row r="39" spans="1:7" x14ac:dyDescent="0.25">
      <c r="A39" s="52">
        <v>2026</v>
      </c>
      <c r="B39" s="51" t="s">
        <v>238</v>
      </c>
      <c r="C39" s="51" t="s">
        <v>553</v>
      </c>
      <c r="D39" s="51" t="s">
        <v>234</v>
      </c>
      <c r="E39" s="52">
        <v>28</v>
      </c>
      <c r="F39" s="52">
        <v>10</v>
      </c>
      <c r="G39" s="52">
        <v>35.71</v>
      </c>
    </row>
    <row r="40" spans="1:7" ht="25.5" x14ac:dyDescent="0.25">
      <c r="A40" s="52">
        <v>2026</v>
      </c>
      <c r="B40" s="51" t="s">
        <v>238</v>
      </c>
      <c r="C40" s="51" t="s">
        <v>554</v>
      </c>
      <c r="D40" s="51" t="s">
        <v>232</v>
      </c>
      <c r="E40" s="52">
        <v>15</v>
      </c>
      <c r="F40" s="52">
        <v>0</v>
      </c>
      <c r="G40" s="52">
        <v>0</v>
      </c>
    </row>
    <row r="41" spans="1:7" ht="25.5" x14ac:dyDescent="0.25">
      <c r="A41" s="52">
        <v>2026</v>
      </c>
      <c r="B41" s="51" t="s">
        <v>238</v>
      </c>
      <c r="C41" s="51" t="s">
        <v>554</v>
      </c>
      <c r="D41" s="51" t="s">
        <v>233</v>
      </c>
      <c r="E41" s="52">
        <v>0</v>
      </c>
      <c r="F41" s="52">
        <v>0</v>
      </c>
      <c r="G41" s="52">
        <v>0</v>
      </c>
    </row>
    <row r="42" spans="1:7" ht="25.5" x14ac:dyDescent="0.25">
      <c r="A42" s="52">
        <v>2026</v>
      </c>
      <c r="B42" s="51" t="s">
        <v>238</v>
      </c>
      <c r="C42" s="51" t="s">
        <v>554</v>
      </c>
      <c r="D42" s="51" t="s">
        <v>234</v>
      </c>
      <c r="E42" s="52">
        <v>15</v>
      </c>
      <c r="F42" s="52">
        <v>0</v>
      </c>
      <c r="G42" s="52">
        <v>0</v>
      </c>
    </row>
    <row r="43" spans="1:7" x14ac:dyDescent="0.25">
      <c r="A43" s="52">
        <v>2026</v>
      </c>
      <c r="B43" s="51" t="s">
        <v>238</v>
      </c>
      <c r="C43" s="51" t="s">
        <v>555</v>
      </c>
      <c r="D43" s="51" t="s">
        <v>232</v>
      </c>
      <c r="E43" s="52">
        <v>3</v>
      </c>
      <c r="F43" s="52">
        <v>1</v>
      </c>
      <c r="G43" s="52">
        <v>33.33</v>
      </c>
    </row>
    <row r="44" spans="1:7" x14ac:dyDescent="0.25">
      <c r="A44" s="52">
        <v>2026</v>
      </c>
      <c r="B44" s="51" t="s">
        <v>238</v>
      </c>
      <c r="C44" s="51" t="s">
        <v>555</v>
      </c>
      <c r="D44" s="51" t="s">
        <v>233</v>
      </c>
      <c r="E44" s="52">
        <v>10</v>
      </c>
      <c r="F44" s="52">
        <v>2</v>
      </c>
      <c r="G44" s="52">
        <v>20</v>
      </c>
    </row>
    <row r="45" spans="1:7" x14ac:dyDescent="0.25">
      <c r="A45" s="52">
        <v>2026</v>
      </c>
      <c r="B45" s="51" t="s">
        <v>238</v>
      </c>
      <c r="C45" s="51" t="s">
        <v>555</v>
      </c>
      <c r="D45" s="51" t="s">
        <v>234</v>
      </c>
      <c r="E45" s="52">
        <v>13</v>
      </c>
      <c r="F45" s="52">
        <v>3</v>
      </c>
      <c r="G45" s="52">
        <v>23.08</v>
      </c>
    </row>
    <row r="46" spans="1:7" x14ac:dyDescent="0.25">
      <c r="A46" s="52">
        <v>2026</v>
      </c>
      <c r="B46" s="51" t="s">
        <v>238</v>
      </c>
      <c r="C46" s="51" t="s">
        <v>556</v>
      </c>
      <c r="D46" s="51" t="s">
        <v>232</v>
      </c>
      <c r="E46" s="52">
        <v>152</v>
      </c>
      <c r="F46" s="52">
        <v>13</v>
      </c>
      <c r="G46" s="52">
        <v>8.5500000000000007</v>
      </c>
    </row>
    <row r="47" spans="1:7" x14ac:dyDescent="0.25">
      <c r="A47" s="52">
        <v>2026</v>
      </c>
      <c r="B47" s="51" t="s">
        <v>238</v>
      </c>
      <c r="C47" s="51" t="s">
        <v>556</v>
      </c>
      <c r="D47" s="51" t="s">
        <v>233</v>
      </c>
      <c r="E47" s="52">
        <v>13</v>
      </c>
      <c r="F47" s="52">
        <v>4</v>
      </c>
      <c r="G47" s="52">
        <v>30.77</v>
      </c>
    </row>
    <row r="48" spans="1:7" x14ac:dyDescent="0.25">
      <c r="A48" s="52">
        <v>2026</v>
      </c>
      <c r="B48" s="51" t="s">
        <v>238</v>
      </c>
      <c r="C48" s="51" t="s">
        <v>556</v>
      </c>
      <c r="D48" s="51" t="s">
        <v>234</v>
      </c>
      <c r="E48" s="52">
        <v>165</v>
      </c>
      <c r="F48" s="52">
        <v>17</v>
      </c>
      <c r="G48" s="52">
        <v>10.3</v>
      </c>
    </row>
    <row r="49" spans="1:7" x14ac:dyDescent="0.25">
      <c r="A49" s="52">
        <v>2026</v>
      </c>
      <c r="B49" s="51" t="s">
        <v>238</v>
      </c>
      <c r="C49" s="51" t="s">
        <v>452</v>
      </c>
      <c r="D49" s="51" t="s">
        <v>232</v>
      </c>
      <c r="E49" s="52">
        <v>9984</v>
      </c>
      <c r="F49" s="52">
        <v>2378</v>
      </c>
      <c r="G49" s="52">
        <v>23.82</v>
      </c>
    </row>
    <row r="50" spans="1:7" x14ac:dyDescent="0.25">
      <c r="A50" s="52">
        <v>2026</v>
      </c>
      <c r="B50" s="51" t="s">
        <v>238</v>
      </c>
      <c r="C50" s="51" t="s">
        <v>452</v>
      </c>
      <c r="D50" s="51" t="s">
        <v>233</v>
      </c>
      <c r="E50" s="52">
        <v>9212</v>
      </c>
      <c r="F50" s="52">
        <v>4122</v>
      </c>
      <c r="G50" s="52">
        <v>44.75</v>
      </c>
    </row>
    <row r="51" spans="1:7" x14ac:dyDescent="0.25">
      <c r="A51" s="52">
        <v>2026</v>
      </c>
      <c r="B51" s="51" t="s">
        <v>238</v>
      </c>
      <c r="C51" s="51" t="s">
        <v>452</v>
      </c>
      <c r="D51" s="51" t="s">
        <v>234</v>
      </c>
      <c r="E51" s="52">
        <v>19196</v>
      </c>
      <c r="F51" s="52">
        <v>6500</v>
      </c>
      <c r="G51" s="52">
        <v>33.86</v>
      </c>
    </row>
    <row r="52" spans="1:7" x14ac:dyDescent="0.25">
      <c r="A52" s="52">
        <v>2026</v>
      </c>
      <c r="B52" s="51" t="s">
        <v>246</v>
      </c>
      <c r="C52" s="51" t="s">
        <v>198</v>
      </c>
      <c r="D52" s="51" t="s">
        <v>232</v>
      </c>
      <c r="E52" s="52">
        <v>33585</v>
      </c>
      <c r="F52" s="52">
        <v>13252</v>
      </c>
      <c r="G52" s="52">
        <v>39.46</v>
      </c>
    </row>
    <row r="53" spans="1:7" x14ac:dyDescent="0.25">
      <c r="A53" s="52">
        <v>2026</v>
      </c>
      <c r="B53" s="51" t="s">
        <v>246</v>
      </c>
      <c r="C53" s="51" t="s">
        <v>198</v>
      </c>
      <c r="D53" s="51" t="s">
        <v>233</v>
      </c>
      <c r="E53" s="52">
        <v>33134</v>
      </c>
      <c r="F53" s="52">
        <v>19707</v>
      </c>
      <c r="G53" s="52">
        <v>59.48</v>
      </c>
    </row>
    <row r="54" spans="1:7" x14ac:dyDescent="0.25">
      <c r="A54" s="52">
        <v>2026</v>
      </c>
      <c r="B54" s="51" t="s">
        <v>246</v>
      </c>
      <c r="C54" s="51" t="s">
        <v>198</v>
      </c>
      <c r="D54" s="51" t="s">
        <v>234</v>
      </c>
      <c r="E54" s="52">
        <v>66719</v>
      </c>
      <c r="F54" s="52">
        <v>32959</v>
      </c>
      <c r="G54" s="52">
        <v>49.4</v>
      </c>
    </row>
    <row r="55" spans="1:7" x14ac:dyDescent="0.25">
      <c r="A55" s="52">
        <v>2026</v>
      </c>
      <c r="B55" s="51" t="s">
        <v>246</v>
      </c>
      <c r="C55" s="51" t="s">
        <v>309</v>
      </c>
      <c r="D55" s="51" t="s">
        <v>232</v>
      </c>
      <c r="E55" s="52">
        <v>5141</v>
      </c>
      <c r="F55" s="52">
        <v>586</v>
      </c>
      <c r="G55" s="52">
        <v>11.4</v>
      </c>
    </row>
    <row r="56" spans="1:7" x14ac:dyDescent="0.25">
      <c r="A56" s="52">
        <v>2026</v>
      </c>
      <c r="B56" s="51" t="s">
        <v>246</v>
      </c>
      <c r="C56" s="51" t="s">
        <v>309</v>
      </c>
      <c r="D56" s="51" t="s">
        <v>233</v>
      </c>
      <c r="E56" s="52">
        <v>10323</v>
      </c>
      <c r="F56" s="52">
        <v>2183</v>
      </c>
      <c r="G56" s="52">
        <v>21.15</v>
      </c>
    </row>
    <row r="57" spans="1:7" x14ac:dyDescent="0.25">
      <c r="A57" s="52">
        <v>2026</v>
      </c>
      <c r="B57" s="51" t="s">
        <v>246</v>
      </c>
      <c r="C57" s="51" t="s">
        <v>309</v>
      </c>
      <c r="D57" s="51" t="s">
        <v>234</v>
      </c>
      <c r="E57" s="52">
        <v>15464</v>
      </c>
      <c r="F57" s="52">
        <v>2769</v>
      </c>
      <c r="G57" s="52">
        <v>17.91</v>
      </c>
    </row>
    <row r="58" spans="1:7" x14ac:dyDescent="0.25">
      <c r="A58" s="52">
        <v>2026</v>
      </c>
      <c r="B58" s="51" t="s">
        <v>246</v>
      </c>
      <c r="C58" s="51" t="s">
        <v>374</v>
      </c>
      <c r="D58" s="51" t="s">
        <v>232</v>
      </c>
      <c r="E58" s="52">
        <v>45</v>
      </c>
      <c r="F58" s="52">
        <v>45</v>
      </c>
      <c r="G58" s="52">
        <v>100</v>
      </c>
    </row>
    <row r="59" spans="1:7" x14ac:dyDescent="0.25">
      <c r="A59" s="52">
        <v>2026</v>
      </c>
      <c r="B59" s="51" t="s">
        <v>246</v>
      </c>
      <c r="C59" s="51" t="s">
        <v>374</v>
      </c>
      <c r="D59" s="51" t="s">
        <v>233</v>
      </c>
      <c r="E59" s="52">
        <v>42</v>
      </c>
      <c r="F59" s="52">
        <v>42</v>
      </c>
      <c r="G59" s="52">
        <v>100</v>
      </c>
    </row>
    <row r="60" spans="1:7" x14ac:dyDescent="0.25">
      <c r="A60" s="52">
        <v>2026</v>
      </c>
      <c r="B60" s="51" t="s">
        <v>246</v>
      </c>
      <c r="C60" s="51" t="s">
        <v>374</v>
      </c>
      <c r="D60" s="51" t="s">
        <v>234</v>
      </c>
      <c r="E60" s="52">
        <v>87</v>
      </c>
      <c r="F60" s="52">
        <v>87</v>
      </c>
      <c r="G60" s="52">
        <v>100</v>
      </c>
    </row>
    <row r="61" spans="1:7" x14ac:dyDescent="0.25">
      <c r="A61" s="52">
        <v>2026</v>
      </c>
      <c r="B61" s="51" t="s">
        <v>246</v>
      </c>
      <c r="C61" s="51" t="s">
        <v>553</v>
      </c>
      <c r="D61" s="51" t="s">
        <v>232</v>
      </c>
      <c r="E61" s="52">
        <v>366</v>
      </c>
      <c r="F61" s="52">
        <v>115</v>
      </c>
      <c r="G61" s="52">
        <v>31.42</v>
      </c>
    </row>
    <row r="62" spans="1:7" x14ac:dyDescent="0.25">
      <c r="A62" s="52">
        <v>2026</v>
      </c>
      <c r="B62" s="51" t="s">
        <v>246</v>
      </c>
      <c r="C62" s="51" t="s">
        <v>553</v>
      </c>
      <c r="D62" s="51" t="s">
        <v>233</v>
      </c>
      <c r="E62" s="52">
        <v>419</v>
      </c>
      <c r="F62" s="52">
        <v>274</v>
      </c>
      <c r="G62" s="52">
        <v>65.39</v>
      </c>
    </row>
    <row r="63" spans="1:7" x14ac:dyDescent="0.25">
      <c r="A63" s="52">
        <v>2026</v>
      </c>
      <c r="B63" s="51" t="s">
        <v>246</v>
      </c>
      <c r="C63" s="51" t="s">
        <v>553</v>
      </c>
      <c r="D63" s="51" t="s">
        <v>234</v>
      </c>
      <c r="E63" s="52">
        <v>785</v>
      </c>
      <c r="F63" s="52">
        <v>389</v>
      </c>
      <c r="G63" s="52">
        <v>49.55</v>
      </c>
    </row>
    <row r="64" spans="1:7" ht="25.5" x14ac:dyDescent="0.25">
      <c r="A64" s="52">
        <v>2026</v>
      </c>
      <c r="B64" s="51" t="s">
        <v>246</v>
      </c>
      <c r="C64" s="51" t="s">
        <v>554</v>
      </c>
      <c r="D64" s="51" t="s">
        <v>232</v>
      </c>
      <c r="E64" s="52">
        <v>164</v>
      </c>
      <c r="F64" s="52">
        <v>33</v>
      </c>
      <c r="G64" s="52">
        <v>20.12</v>
      </c>
    </row>
    <row r="65" spans="1:7" ht="25.5" x14ac:dyDescent="0.25">
      <c r="A65" s="52">
        <v>2026</v>
      </c>
      <c r="B65" s="51" t="s">
        <v>246</v>
      </c>
      <c r="C65" s="51" t="s">
        <v>554</v>
      </c>
      <c r="D65" s="51" t="s">
        <v>233</v>
      </c>
      <c r="E65" s="52">
        <v>0</v>
      </c>
      <c r="F65" s="52">
        <v>0</v>
      </c>
      <c r="G65" s="52">
        <v>0</v>
      </c>
    </row>
    <row r="66" spans="1:7" ht="25.5" x14ac:dyDescent="0.25">
      <c r="A66" s="52">
        <v>2026</v>
      </c>
      <c r="B66" s="51" t="s">
        <v>246</v>
      </c>
      <c r="C66" s="51" t="s">
        <v>554</v>
      </c>
      <c r="D66" s="51" t="s">
        <v>234</v>
      </c>
      <c r="E66" s="52">
        <v>164</v>
      </c>
      <c r="F66" s="52">
        <v>33</v>
      </c>
      <c r="G66" s="52">
        <v>20.12</v>
      </c>
    </row>
    <row r="67" spans="1:7" x14ac:dyDescent="0.25">
      <c r="A67" s="52">
        <v>2026</v>
      </c>
      <c r="B67" s="51" t="s">
        <v>246</v>
      </c>
      <c r="C67" s="51" t="s">
        <v>555</v>
      </c>
      <c r="D67" s="51" t="s">
        <v>232</v>
      </c>
      <c r="E67" s="52">
        <v>5</v>
      </c>
      <c r="F67" s="52">
        <v>1</v>
      </c>
      <c r="G67" s="52">
        <v>20</v>
      </c>
    </row>
    <row r="68" spans="1:7" x14ac:dyDescent="0.25">
      <c r="A68" s="52">
        <v>2026</v>
      </c>
      <c r="B68" s="51" t="s">
        <v>246</v>
      </c>
      <c r="C68" s="51" t="s">
        <v>555</v>
      </c>
      <c r="D68" s="51" t="s">
        <v>233</v>
      </c>
      <c r="E68" s="52">
        <v>557</v>
      </c>
      <c r="F68" s="52">
        <v>213</v>
      </c>
      <c r="G68" s="52">
        <v>38.24</v>
      </c>
    </row>
    <row r="69" spans="1:7" x14ac:dyDescent="0.25">
      <c r="A69" s="52">
        <v>2026</v>
      </c>
      <c r="B69" s="51" t="s">
        <v>246</v>
      </c>
      <c r="C69" s="51" t="s">
        <v>555</v>
      </c>
      <c r="D69" s="51" t="s">
        <v>234</v>
      </c>
      <c r="E69" s="52">
        <v>562</v>
      </c>
      <c r="F69" s="52">
        <v>214</v>
      </c>
      <c r="G69" s="52">
        <v>38.08</v>
      </c>
    </row>
    <row r="70" spans="1:7" x14ac:dyDescent="0.25">
      <c r="A70" s="52">
        <v>2026</v>
      </c>
      <c r="B70" s="51" t="s">
        <v>246</v>
      </c>
      <c r="C70" s="51" t="s">
        <v>556</v>
      </c>
      <c r="D70" s="51" t="s">
        <v>232</v>
      </c>
      <c r="E70" s="52">
        <v>2373</v>
      </c>
      <c r="F70" s="52">
        <v>732</v>
      </c>
      <c r="G70" s="52">
        <v>30.85</v>
      </c>
    </row>
    <row r="71" spans="1:7" x14ac:dyDescent="0.25">
      <c r="A71" s="52">
        <v>2026</v>
      </c>
      <c r="B71" s="51" t="s">
        <v>246</v>
      </c>
      <c r="C71" s="51" t="s">
        <v>556</v>
      </c>
      <c r="D71" s="51" t="s">
        <v>233</v>
      </c>
      <c r="E71" s="52">
        <v>939</v>
      </c>
      <c r="F71" s="52">
        <v>620</v>
      </c>
      <c r="G71" s="52">
        <v>66.03</v>
      </c>
    </row>
    <row r="72" spans="1:7" x14ac:dyDescent="0.25">
      <c r="A72" s="52">
        <v>2026</v>
      </c>
      <c r="B72" s="51" t="s">
        <v>246</v>
      </c>
      <c r="C72" s="51" t="s">
        <v>556</v>
      </c>
      <c r="D72" s="51" t="s">
        <v>234</v>
      </c>
      <c r="E72" s="52">
        <v>3312</v>
      </c>
      <c r="F72" s="52">
        <v>1352</v>
      </c>
      <c r="G72" s="52">
        <v>40.82</v>
      </c>
    </row>
    <row r="73" spans="1:7" x14ac:dyDescent="0.25">
      <c r="A73" s="52">
        <v>2026</v>
      </c>
      <c r="B73" s="51" t="s">
        <v>246</v>
      </c>
      <c r="C73" s="51" t="s">
        <v>452</v>
      </c>
      <c r="D73" s="51" t="s">
        <v>232</v>
      </c>
      <c r="E73" s="52">
        <v>41679</v>
      </c>
      <c r="F73" s="52">
        <v>14764</v>
      </c>
      <c r="G73" s="52">
        <v>35.42</v>
      </c>
    </row>
    <row r="74" spans="1:7" x14ac:dyDescent="0.25">
      <c r="A74" s="52">
        <v>2026</v>
      </c>
      <c r="B74" s="51" t="s">
        <v>246</v>
      </c>
      <c r="C74" s="51" t="s">
        <v>452</v>
      </c>
      <c r="D74" s="51" t="s">
        <v>233</v>
      </c>
      <c r="E74" s="52">
        <v>45414</v>
      </c>
      <c r="F74" s="52">
        <v>23039</v>
      </c>
      <c r="G74" s="52">
        <v>50.73</v>
      </c>
    </row>
    <row r="75" spans="1:7" x14ac:dyDescent="0.25">
      <c r="A75" s="52">
        <v>2026</v>
      </c>
      <c r="B75" s="51" t="s">
        <v>246</v>
      </c>
      <c r="C75" s="51" t="s">
        <v>452</v>
      </c>
      <c r="D75" s="51" t="s">
        <v>234</v>
      </c>
      <c r="E75" s="52">
        <v>87093</v>
      </c>
      <c r="F75" s="52">
        <v>37803</v>
      </c>
      <c r="G75" s="52">
        <v>43.41</v>
      </c>
    </row>
    <row r="76" spans="1:7" x14ac:dyDescent="0.25">
      <c r="A76" s="48">
        <v>2025</v>
      </c>
      <c r="B76" s="47" t="s">
        <v>244</v>
      </c>
      <c r="C76" s="47" t="s">
        <v>198</v>
      </c>
      <c r="D76" s="47" t="s">
        <v>232</v>
      </c>
      <c r="E76" s="48">
        <v>32907</v>
      </c>
      <c r="F76" s="48">
        <v>14154</v>
      </c>
      <c r="G76" s="48">
        <v>43.01</v>
      </c>
    </row>
    <row r="77" spans="1:7" x14ac:dyDescent="0.25">
      <c r="A77" s="48">
        <v>2025</v>
      </c>
      <c r="B77" s="47" t="s">
        <v>244</v>
      </c>
      <c r="C77" s="47" t="s">
        <v>198</v>
      </c>
      <c r="D77" s="47" t="s">
        <v>233</v>
      </c>
      <c r="E77" s="48">
        <v>28441</v>
      </c>
      <c r="F77" s="48">
        <v>16174</v>
      </c>
      <c r="G77" s="48">
        <v>56.87</v>
      </c>
    </row>
    <row r="78" spans="1:7" x14ac:dyDescent="0.25">
      <c r="A78" s="48">
        <v>2025</v>
      </c>
      <c r="B78" s="47" t="s">
        <v>244</v>
      </c>
      <c r="C78" s="47" t="s">
        <v>198</v>
      </c>
      <c r="D78" s="47" t="s">
        <v>234</v>
      </c>
      <c r="E78" s="48">
        <v>61348</v>
      </c>
      <c r="F78" s="48">
        <v>30328</v>
      </c>
      <c r="G78" s="48">
        <v>49.44</v>
      </c>
    </row>
    <row r="79" spans="1:7" x14ac:dyDescent="0.25">
      <c r="A79" s="48">
        <v>2025</v>
      </c>
      <c r="B79" s="47" t="s">
        <v>244</v>
      </c>
      <c r="C79" s="47" t="s">
        <v>309</v>
      </c>
      <c r="D79" s="47" t="s">
        <v>232</v>
      </c>
      <c r="E79" s="48">
        <v>2725</v>
      </c>
      <c r="F79" s="48">
        <v>783</v>
      </c>
      <c r="G79" s="48">
        <v>28.73</v>
      </c>
    </row>
    <row r="80" spans="1:7" x14ac:dyDescent="0.25">
      <c r="A80" s="48">
        <v>2025</v>
      </c>
      <c r="B80" s="47" t="s">
        <v>244</v>
      </c>
      <c r="C80" s="47" t="s">
        <v>309</v>
      </c>
      <c r="D80" s="47" t="s">
        <v>233</v>
      </c>
      <c r="E80" s="48">
        <v>8722</v>
      </c>
      <c r="F80" s="48">
        <v>4573</v>
      </c>
      <c r="G80" s="48">
        <v>52.43</v>
      </c>
    </row>
    <row r="81" spans="1:7" x14ac:dyDescent="0.25">
      <c r="A81" s="48">
        <v>2025</v>
      </c>
      <c r="B81" s="47" t="s">
        <v>244</v>
      </c>
      <c r="C81" s="47" t="s">
        <v>309</v>
      </c>
      <c r="D81" s="47" t="s">
        <v>234</v>
      </c>
      <c r="E81" s="48">
        <v>11447</v>
      </c>
      <c r="F81" s="48">
        <v>5356</v>
      </c>
      <c r="G81" s="48">
        <v>46.79</v>
      </c>
    </row>
    <row r="82" spans="1:7" x14ac:dyDescent="0.25">
      <c r="A82" s="48">
        <v>2025</v>
      </c>
      <c r="B82" s="47" t="s">
        <v>244</v>
      </c>
      <c r="C82" s="47" t="s">
        <v>374</v>
      </c>
      <c r="D82" s="47" t="s">
        <v>232</v>
      </c>
      <c r="E82" s="48">
        <v>45</v>
      </c>
      <c r="F82" s="48">
        <v>43</v>
      </c>
      <c r="G82" s="48">
        <v>95.56</v>
      </c>
    </row>
    <row r="83" spans="1:7" x14ac:dyDescent="0.25">
      <c r="A83" s="48">
        <v>2025</v>
      </c>
      <c r="B83" s="47" t="s">
        <v>244</v>
      </c>
      <c r="C83" s="47" t="s">
        <v>374</v>
      </c>
      <c r="D83" s="47" t="s">
        <v>233</v>
      </c>
      <c r="E83" s="48">
        <v>9</v>
      </c>
      <c r="F83" s="48">
        <v>9</v>
      </c>
      <c r="G83" s="48">
        <v>100</v>
      </c>
    </row>
    <row r="84" spans="1:7" x14ac:dyDescent="0.25">
      <c r="A84" s="48">
        <v>2025</v>
      </c>
      <c r="B84" s="47" t="s">
        <v>244</v>
      </c>
      <c r="C84" s="47" t="s">
        <v>374</v>
      </c>
      <c r="D84" s="47" t="s">
        <v>234</v>
      </c>
      <c r="E84" s="48">
        <v>54</v>
      </c>
      <c r="F84" s="48">
        <v>52</v>
      </c>
      <c r="G84" s="48">
        <v>96.3</v>
      </c>
    </row>
    <row r="85" spans="1:7" x14ac:dyDescent="0.25">
      <c r="A85" s="48">
        <v>2025</v>
      </c>
      <c r="B85" s="47" t="s">
        <v>244</v>
      </c>
      <c r="C85" s="47" t="s">
        <v>452</v>
      </c>
      <c r="D85" s="47" t="s">
        <v>232</v>
      </c>
      <c r="E85" s="48">
        <v>35677</v>
      </c>
      <c r="F85" s="48">
        <v>14980</v>
      </c>
      <c r="G85" s="48">
        <v>41.99</v>
      </c>
    </row>
    <row r="86" spans="1:7" x14ac:dyDescent="0.25">
      <c r="A86" s="48">
        <v>2025</v>
      </c>
      <c r="B86" s="47" t="s">
        <v>244</v>
      </c>
      <c r="C86" s="47" t="s">
        <v>452</v>
      </c>
      <c r="D86" s="47" t="s">
        <v>233</v>
      </c>
      <c r="E86" s="48">
        <v>37172</v>
      </c>
      <c r="F86" s="48">
        <v>20756</v>
      </c>
      <c r="G86" s="48">
        <v>55.84</v>
      </c>
    </row>
    <row r="87" spans="1:7" x14ac:dyDescent="0.25">
      <c r="A87" s="48">
        <v>2025</v>
      </c>
      <c r="B87" s="47" t="s">
        <v>244</v>
      </c>
      <c r="C87" s="47" t="s">
        <v>452</v>
      </c>
      <c r="D87" s="47" t="s">
        <v>234</v>
      </c>
      <c r="E87" s="48">
        <v>72849</v>
      </c>
      <c r="F87" s="48">
        <v>35736</v>
      </c>
      <c r="G87" s="48">
        <v>49.05</v>
      </c>
    </row>
    <row r="88" spans="1:7" x14ac:dyDescent="0.25">
      <c r="A88" s="48">
        <v>2025</v>
      </c>
      <c r="B88" s="47" t="s">
        <v>238</v>
      </c>
      <c r="C88" s="47" t="s">
        <v>198</v>
      </c>
      <c r="D88" s="47" t="s">
        <v>232</v>
      </c>
      <c r="E88" s="48">
        <v>9852</v>
      </c>
      <c r="F88" s="48">
        <v>2911</v>
      </c>
      <c r="G88" s="48">
        <v>29.55</v>
      </c>
    </row>
    <row r="89" spans="1:7" x14ac:dyDescent="0.25">
      <c r="A89" s="48">
        <v>2025</v>
      </c>
      <c r="B89" s="47" t="s">
        <v>238</v>
      </c>
      <c r="C89" s="47" t="s">
        <v>198</v>
      </c>
      <c r="D89" s="47" t="s">
        <v>233</v>
      </c>
      <c r="E89" s="48">
        <v>8933</v>
      </c>
      <c r="F89" s="48">
        <v>4114</v>
      </c>
      <c r="G89" s="48">
        <v>46.05</v>
      </c>
    </row>
    <row r="90" spans="1:7" x14ac:dyDescent="0.25">
      <c r="A90" s="48">
        <v>2025</v>
      </c>
      <c r="B90" s="47" t="s">
        <v>238</v>
      </c>
      <c r="C90" s="47" t="s">
        <v>198</v>
      </c>
      <c r="D90" s="47" t="s">
        <v>234</v>
      </c>
      <c r="E90" s="48">
        <v>18785</v>
      </c>
      <c r="F90" s="48">
        <v>7025</v>
      </c>
      <c r="G90" s="48">
        <v>37.4</v>
      </c>
    </row>
    <row r="91" spans="1:7" x14ac:dyDescent="0.25">
      <c r="A91" s="48">
        <v>2025</v>
      </c>
      <c r="B91" s="47" t="s">
        <v>238</v>
      </c>
      <c r="C91" s="47" t="s">
        <v>309</v>
      </c>
      <c r="D91" s="47" t="s">
        <v>232</v>
      </c>
      <c r="E91" s="48">
        <v>2401</v>
      </c>
      <c r="F91" s="48">
        <v>691</v>
      </c>
      <c r="G91" s="48">
        <v>28.78</v>
      </c>
    </row>
    <row r="92" spans="1:7" x14ac:dyDescent="0.25">
      <c r="A92" s="48">
        <v>2025</v>
      </c>
      <c r="B92" s="47" t="s">
        <v>238</v>
      </c>
      <c r="C92" s="47" t="s">
        <v>309</v>
      </c>
      <c r="D92" s="47" t="s">
        <v>233</v>
      </c>
      <c r="E92" s="48">
        <v>1995</v>
      </c>
      <c r="F92" s="48">
        <v>794</v>
      </c>
      <c r="G92" s="48">
        <v>39.799999999999997</v>
      </c>
    </row>
    <row r="93" spans="1:7" x14ac:dyDescent="0.25">
      <c r="A93" s="48">
        <v>2025</v>
      </c>
      <c r="B93" s="47" t="s">
        <v>238</v>
      </c>
      <c r="C93" s="47" t="s">
        <v>309</v>
      </c>
      <c r="D93" s="47" t="s">
        <v>234</v>
      </c>
      <c r="E93" s="48">
        <v>4396</v>
      </c>
      <c r="F93" s="48">
        <v>1485</v>
      </c>
      <c r="G93" s="48">
        <v>33.78</v>
      </c>
    </row>
    <row r="94" spans="1:7" x14ac:dyDescent="0.25">
      <c r="A94" s="48">
        <v>2025</v>
      </c>
      <c r="B94" s="47" t="s">
        <v>238</v>
      </c>
      <c r="C94" s="47" t="s">
        <v>374</v>
      </c>
      <c r="D94" s="47" t="s">
        <v>232</v>
      </c>
      <c r="E94" s="48">
        <v>3</v>
      </c>
      <c r="F94" s="48">
        <v>3</v>
      </c>
      <c r="G94" s="48">
        <v>100</v>
      </c>
    </row>
    <row r="95" spans="1:7" x14ac:dyDescent="0.25">
      <c r="A95" s="48">
        <v>2025</v>
      </c>
      <c r="B95" s="47" t="s">
        <v>238</v>
      </c>
      <c r="C95" s="47" t="s">
        <v>374</v>
      </c>
      <c r="D95" s="47" t="s">
        <v>233</v>
      </c>
      <c r="E95" s="48">
        <v>1</v>
      </c>
      <c r="F95" s="48">
        <v>1</v>
      </c>
      <c r="G95" s="48">
        <v>100</v>
      </c>
    </row>
    <row r="96" spans="1:7" x14ac:dyDescent="0.25">
      <c r="A96" s="48">
        <v>2025</v>
      </c>
      <c r="B96" s="47" t="s">
        <v>238</v>
      </c>
      <c r="C96" s="47" t="s">
        <v>374</v>
      </c>
      <c r="D96" s="47" t="s">
        <v>234</v>
      </c>
      <c r="E96" s="48">
        <v>4</v>
      </c>
      <c r="F96" s="48">
        <v>4</v>
      </c>
      <c r="G96" s="48">
        <v>100</v>
      </c>
    </row>
    <row r="97" spans="1:7" x14ac:dyDescent="0.25">
      <c r="A97" s="48">
        <v>2025</v>
      </c>
      <c r="B97" s="47" t="s">
        <v>238</v>
      </c>
      <c r="C97" s="47" t="s">
        <v>452</v>
      </c>
      <c r="D97" s="47" t="s">
        <v>232</v>
      </c>
      <c r="E97" s="48">
        <v>12256</v>
      </c>
      <c r="F97" s="48">
        <v>3605</v>
      </c>
      <c r="G97" s="48">
        <v>29.41</v>
      </c>
    </row>
    <row r="98" spans="1:7" x14ac:dyDescent="0.25">
      <c r="A98" s="48">
        <v>2025</v>
      </c>
      <c r="B98" s="47" t="s">
        <v>238</v>
      </c>
      <c r="C98" s="47" t="s">
        <v>452</v>
      </c>
      <c r="D98" s="47" t="s">
        <v>233</v>
      </c>
      <c r="E98" s="48">
        <v>10929</v>
      </c>
      <c r="F98" s="48">
        <v>4909</v>
      </c>
      <c r="G98" s="48">
        <v>44.92</v>
      </c>
    </row>
    <row r="99" spans="1:7" x14ac:dyDescent="0.25">
      <c r="A99" s="48">
        <v>2025</v>
      </c>
      <c r="B99" s="47" t="s">
        <v>238</v>
      </c>
      <c r="C99" s="47" t="s">
        <v>452</v>
      </c>
      <c r="D99" s="47" t="s">
        <v>234</v>
      </c>
      <c r="E99" s="48">
        <v>23185</v>
      </c>
      <c r="F99" s="48">
        <v>8514</v>
      </c>
      <c r="G99" s="48">
        <v>36.72</v>
      </c>
    </row>
    <row r="100" spans="1:7" x14ac:dyDescent="0.25">
      <c r="A100" s="48">
        <v>2025</v>
      </c>
      <c r="B100" s="47" t="s">
        <v>246</v>
      </c>
      <c r="C100" s="47" t="s">
        <v>198</v>
      </c>
      <c r="D100" s="47" t="s">
        <v>232</v>
      </c>
      <c r="E100" s="48">
        <v>42759</v>
      </c>
      <c r="F100" s="48">
        <v>17065</v>
      </c>
      <c r="G100" s="48">
        <v>39.909999999999997</v>
      </c>
    </row>
    <row r="101" spans="1:7" x14ac:dyDescent="0.25">
      <c r="A101" s="48">
        <v>2025</v>
      </c>
      <c r="B101" s="47" t="s">
        <v>246</v>
      </c>
      <c r="C101" s="47" t="s">
        <v>198</v>
      </c>
      <c r="D101" s="47" t="s">
        <v>233</v>
      </c>
      <c r="E101" s="48">
        <v>37374</v>
      </c>
      <c r="F101" s="48">
        <v>20288</v>
      </c>
      <c r="G101" s="48">
        <v>54.28</v>
      </c>
    </row>
    <row r="102" spans="1:7" x14ac:dyDescent="0.25">
      <c r="A102" s="48">
        <v>2025</v>
      </c>
      <c r="B102" s="47" t="s">
        <v>246</v>
      </c>
      <c r="C102" s="47" t="s">
        <v>198</v>
      </c>
      <c r="D102" s="47" t="s">
        <v>234</v>
      </c>
      <c r="E102" s="48">
        <v>80133</v>
      </c>
      <c r="F102" s="48">
        <v>37353</v>
      </c>
      <c r="G102" s="48">
        <v>46.61</v>
      </c>
    </row>
    <row r="103" spans="1:7" x14ac:dyDescent="0.25">
      <c r="A103" s="48">
        <v>2025</v>
      </c>
      <c r="B103" s="47" t="s">
        <v>246</v>
      </c>
      <c r="C103" s="47" t="s">
        <v>309</v>
      </c>
      <c r="D103" s="47" t="s">
        <v>232</v>
      </c>
      <c r="E103" s="48">
        <v>5126</v>
      </c>
      <c r="F103" s="48">
        <v>1474</v>
      </c>
      <c r="G103" s="48">
        <v>28.76</v>
      </c>
    </row>
    <row r="104" spans="1:7" x14ac:dyDescent="0.25">
      <c r="A104" s="48">
        <v>2025</v>
      </c>
      <c r="B104" s="47" t="s">
        <v>246</v>
      </c>
      <c r="C104" s="47" t="s">
        <v>309</v>
      </c>
      <c r="D104" s="47" t="s">
        <v>233</v>
      </c>
      <c r="E104" s="48">
        <v>10717</v>
      </c>
      <c r="F104" s="48">
        <v>5367</v>
      </c>
      <c r="G104" s="48">
        <v>50.08</v>
      </c>
    </row>
    <row r="105" spans="1:7" x14ac:dyDescent="0.25">
      <c r="A105" s="48">
        <v>2025</v>
      </c>
      <c r="B105" s="47" t="s">
        <v>246</v>
      </c>
      <c r="C105" s="47" t="s">
        <v>309</v>
      </c>
      <c r="D105" s="47" t="s">
        <v>234</v>
      </c>
      <c r="E105" s="48">
        <v>15843</v>
      </c>
      <c r="F105" s="48">
        <v>6841</v>
      </c>
      <c r="G105" s="48">
        <v>43.18</v>
      </c>
    </row>
    <row r="106" spans="1:7" x14ac:dyDescent="0.25">
      <c r="A106" s="48">
        <v>2025</v>
      </c>
      <c r="B106" s="47" t="s">
        <v>246</v>
      </c>
      <c r="C106" s="47" t="s">
        <v>374</v>
      </c>
      <c r="D106" s="47" t="s">
        <v>232</v>
      </c>
      <c r="E106" s="48">
        <v>48</v>
      </c>
      <c r="F106" s="48">
        <v>46</v>
      </c>
      <c r="G106" s="48">
        <v>95.83</v>
      </c>
    </row>
    <row r="107" spans="1:7" x14ac:dyDescent="0.25">
      <c r="A107" s="48">
        <v>2025</v>
      </c>
      <c r="B107" s="47" t="s">
        <v>246</v>
      </c>
      <c r="C107" s="47" t="s">
        <v>374</v>
      </c>
      <c r="D107" s="47" t="s">
        <v>233</v>
      </c>
      <c r="E107" s="48">
        <v>10</v>
      </c>
      <c r="F107" s="48">
        <v>10</v>
      </c>
      <c r="G107" s="48">
        <v>100</v>
      </c>
    </row>
    <row r="108" spans="1:7" x14ac:dyDescent="0.25">
      <c r="A108" s="48">
        <v>2025</v>
      </c>
      <c r="B108" s="47" t="s">
        <v>246</v>
      </c>
      <c r="C108" s="47" t="s">
        <v>374</v>
      </c>
      <c r="D108" s="47" t="s">
        <v>234</v>
      </c>
      <c r="E108" s="48">
        <v>58</v>
      </c>
      <c r="F108" s="48">
        <v>56</v>
      </c>
      <c r="G108" s="48">
        <v>96.55</v>
      </c>
    </row>
    <row r="109" spans="1:7" x14ac:dyDescent="0.25">
      <c r="A109" s="48">
        <v>2025</v>
      </c>
      <c r="B109" s="47" t="s">
        <v>246</v>
      </c>
      <c r="C109" s="47" t="s">
        <v>452</v>
      </c>
      <c r="D109" s="47" t="s">
        <v>232</v>
      </c>
      <c r="E109" s="48">
        <v>47933</v>
      </c>
      <c r="F109" s="48">
        <v>18585</v>
      </c>
      <c r="G109" s="48">
        <v>38.770000000000003</v>
      </c>
    </row>
    <row r="110" spans="1:7" x14ac:dyDescent="0.25">
      <c r="A110" s="48">
        <v>2025</v>
      </c>
      <c r="B110" s="47" t="s">
        <v>246</v>
      </c>
      <c r="C110" s="47" t="s">
        <v>452</v>
      </c>
      <c r="D110" s="47" t="s">
        <v>233</v>
      </c>
      <c r="E110" s="48">
        <v>48101</v>
      </c>
      <c r="F110" s="48">
        <v>25665</v>
      </c>
      <c r="G110" s="48">
        <v>53.36</v>
      </c>
    </row>
    <row r="111" spans="1:7" x14ac:dyDescent="0.25">
      <c r="A111" s="48">
        <v>2025</v>
      </c>
      <c r="B111" s="47" t="s">
        <v>246</v>
      </c>
      <c r="C111" s="47" t="s">
        <v>452</v>
      </c>
      <c r="D111" s="47" t="s">
        <v>234</v>
      </c>
      <c r="E111" s="48">
        <v>96034</v>
      </c>
      <c r="F111" s="48">
        <v>44250</v>
      </c>
      <c r="G111" s="48">
        <v>46.08</v>
      </c>
    </row>
  </sheetData>
  <autoFilter ref="A3:G111" xr:uid="{00000000-0009-0000-0000-00002D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20" customWidth="1"/>
    <col min="4" max="4" width="18" customWidth="1"/>
    <col min="5" max="5" width="16" customWidth="1"/>
  </cols>
  <sheetData>
    <row r="1" spans="1:5" ht="26.25" customHeight="1" x14ac:dyDescent="0.25">
      <c r="A1" s="19" t="s">
        <v>121</v>
      </c>
      <c r="B1" s="19" t="s">
        <v>557</v>
      </c>
      <c r="C1" s="19" t="s">
        <v>128</v>
      </c>
      <c r="D1" s="19" t="s">
        <v>129</v>
      </c>
      <c r="E1" s="19" t="s">
        <v>7</v>
      </c>
    </row>
    <row r="2" spans="1:5" ht="15" customHeight="1" x14ac:dyDescent="0.25">
      <c r="A2" s="55">
        <v>2025</v>
      </c>
      <c r="B2" s="55">
        <v>115047</v>
      </c>
      <c r="C2" s="55">
        <v>112492</v>
      </c>
      <c r="D2" s="55">
        <v>52166</v>
      </c>
      <c r="E2" s="56">
        <v>46.37</v>
      </c>
    </row>
    <row r="3" spans="1:5" ht="15" customHeight="1" x14ac:dyDescent="0.25">
      <c r="A3" s="57">
        <v>2026</v>
      </c>
      <c r="B3" s="57">
        <v>110718</v>
      </c>
      <c r="C3" s="57">
        <v>107782</v>
      </c>
      <c r="D3" s="57">
        <v>45925</v>
      </c>
      <c r="E3" s="58">
        <v>42.61</v>
      </c>
    </row>
    <row r="4" spans="1:5" ht="15" customHeight="1" x14ac:dyDescent="0.25">
      <c r="A4" s="22" t="s">
        <v>125</v>
      </c>
      <c r="B4" s="22">
        <f>B3-B2</f>
        <v>-4329</v>
      </c>
      <c r="C4" s="22">
        <f>C3-C2</f>
        <v>-4710</v>
      </c>
      <c r="D4" s="22">
        <f>D3-D2</f>
        <v>-6241</v>
      </c>
      <c r="E4" s="23">
        <f>E3-E2</f>
        <v>-3.759999999999998</v>
      </c>
    </row>
  </sheetData>
  <autoFilter ref="A1:E3" xr:uid="{00000000-0009-0000-0000-00002E000000}"/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0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5" customWidth="1"/>
    <col min="3" max="3" width="38" customWidth="1"/>
    <col min="4" max="4" width="10" customWidth="1"/>
    <col min="5" max="5" width="12" customWidth="1"/>
    <col min="6" max="6" width="10" customWidth="1"/>
  </cols>
  <sheetData>
    <row r="1" spans="1:7" ht="26.25" customHeight="1" x14ac:dyDescent="0.25">
      <c r="A1" s="19" t="s">
        <v>121</v>
      </c>
      <c r="B1" s="19" t="s">
        <v>195</v>
      </c>
      <c r="C1" s="19" t="s">
        <v>130</v>
      </c>
      <c r="D1" s="19" t="s">
        <v>229</v>
      </c>
      <c r="E1" s="19" t="s">
        <v>122</v>
      </c>
      <c r="F1" s="19" t="s">
        <v>306</v>
      </c>
      <c r="G1" s="19" t="s">
        <v>132</v>
      </c>
    </row>
    <row r="2" spans="1:7" ht="15" customHeight="1" x14ac:dyDescent="0.25">
      <c r="A2" s="55">
        <v>2025</v>
      </c>
      <c r="B2" s="55" t="s">
        <v>244</v>
      </c>
      <c r="C2" s="55" t="s">
        <v>558</v>
      </c>
      <c r="D2" s="55" t="s">
        <v>233</v>
      </c>
      <c r="E2" s="55">
        <v>37</v>
      </c>
      <c r="F2" s="55">
        <v>37</v>
      </c>
      <c r="G2" s="56">
        <v>100</v>
      </c>
    </row>
    <row r="3" spans="1:7" ht="15" customHeight="1" x14ac:dyDescent="0.25">
      <c r="A3" s="55">
        <v>2025</v>
      </c>
      <c r="B3" s="55" t="s">
        <v>244</v>
      </c>
      <c r="C3" s="55" t="s">
        <v>558</v>
      </c>
      <c r="D3" s="55" t="s">
        <v>232</v>
      </c>
      <c r="E3" s="55">
        <v>45</v>
      </c>
      <c r="F3" s="55">
        <v>45</v>
      </c>
      <c r="G3" s="56">
        <v>100</v>
      </c>
    </row>
    <row r="4" spans="1:7" ht="15" customHeight="1" x14ac:dyDescent="0.25">
      <c r="A4" s="55">
        <v>2025</v>
      </c>
      <c r="B4" s="55" t="s">
        <v>244</v>
      </c>
      <c r="C4" s="55" t="s">
        <v>558</v>
      </c>
      <c r="D4" s="55" t="s">
        <v>234</v>
      </c>
      <c r="E4" s="55">
        <v>82</v>
      </c>
      <c r="F4" s="55">
        <v>82</v>
      </c>
      <c r="G4" s="56">
        <v>100</v>
      </c>
    </row>
    <row r="5" spans="1:7" ht="15" customHeight="1" x14ac:dyDescent="0.25">
      <c r="A5" s="55">
        <v>2025</v>
      </c>
      <c r="B5" s="55" t="s">
        <v>244</v>
      </c>
      <c r="C5" s="55" t="s">
        <v>62</v>
      </c>
      <c r="D5" s="55" t="s">
        <v>233</v>
      </c>
      <c r="E5" s="55">
        <v>12449</v>
      </c>
      <c r="F5" s="55">
        <v>6255</v>
      </c>
      <c r="G5" s="56">
        <v>50.24</v>
      </c>
    </row>
    <row r="6" spans="1:7" ht="15" customHeight="1" x14ac:dyDescent="0.25">
      <c r="A6" s="55">
        <v>2025</v>
      </c>
      <c r="B6" s="55" t="s">
        <v>244</v>
      </c>
      <c r="C6" s="55" t="s">
        <v>62</v>
      </c>
      <c r="D6" s="55" t="s">
        <v>232</v>
      </c>
      <c r="E6" s="55">
        <v>3127</v>
      </c>
      <c r="F6" s="55">
        <v>693</v>
      </c>
      <c r="G6" s="56">
        <v>22.16</v>
      </c>
    </row>
    <row r="7" spans="1:7" ht="15" customHeight="1" x14ac:dyDescent="0.25">
      <c r="A7" s="55">
        <v>2025</v>
      </c>
      <c r="B7" s="55" t="s">
        <v>244</v>
      </c>
      <c r="C7" s="55" t="s">
        <v>62</v>
      </c>
      <c r="D7" s="55" t="s">
        <v>234</v>
      </c>
      <c r="E7" s="55">
        <v>15576</v>
      </c>
      <c r="F7" s="55">
        <v>6948</v>
      </c>
      <c r="G7" s="56">
        <v>44.61</v>
      </c>
    </row>
    <row r="8" spans="1:7" ht="15" customHeight="1" x14ac:dyDescent="0.25">
      <c r="A8" s="55">
        <v>2025</v>
      </c>
      <c r="B8" s="55" t="s">
        <v>244</v>
      </c>
      <c r="C8" s="55" t="s">
        <v>52</v>
      </c>
      <c r="D8" s="55" t="s">
        <v>233</v>
      </c>
      <c r="E8" s="55">
        <v>31633</v>
      </c>
      <c r="F8" s="55">
        <v>19308</v>
      </c>
      <c r="G8" s="56">
        <v>61.04</v>
      </c>
    </row>
    <row r="9" spans="1:7" ht="15" customHeight="1" x14ac:dyDescent="0.25">
      <c r="A9" s="55">
        <v>2025</v>
      </c>
      <c r="B9" s="55" t="s">
        <v>244</v>
      </c>
      <c r="C9" s="55" t="s">
        <v>52</v>
      </c>
      <c r="D9" s="55" t="s">
        <v>232</v>
      </c>
      <c r="E9" s="55">
        <v>46149</v>
      </c>
      <c r="F9" s="55">
        <v>18540</v>
      </c>
      <c r="G9" s="56">
        <v>40.17</v>
      </c>
    </row>
    <row r="10" spans="1:7" ht="15" customHeight="1" x14ac:dyDescent="0.25">
      <c r="A10" s="55">
        <v>2025</v>
      </c>
      <c r="B10" s="55" t="s">
        <v>244</v>
      </c>
      <c r="C10" s="55" t="s">
        <v>52</v>
      </c>
      <c r="D10" s="55" t="s">
        <v>234</v>
      </c>
      <c r="E10" s="55">
        <v>77782</v>
      </c>
      <c r="F10" s="55">
        <v>37848</v>
      </c>
      <c r="G10" s="56">
        <v>48.66</v>
      </c>
    </row>
    <row r="11" spans="1:7" ht="15" customHeight="1" x14ac:dyDescent="0.25">
      <c r="A11" s="55">
        <v>2025</v>
      </c>
      <c r="B11" s="55" t="s">
        <v>244</v>
      </c>
      <c r="C11" s="55" t="s">
        <v>234</v>
      </c>
      <c r="D11" s="55" t="s">
        <v>233</v>
      </c>
      <c r="E11" s="55">
        <v>44119</v>
      </c>
      <c r="F11" s="55">
        <v>25600</v>
      </c>
      <c r="G11" s="56">
        <v>58.02</v>
      </c>
    </row>
    <row r="12" spans="1:7" ht="15" customHeight="1" x14ac:dyDescent="0.25">
      <c r="A12" s="55">
        <v>2025</v>
      </c>
      <c r="B12" s="55" t="s">
        <v>244</v>
      </c>
      <c r="C12" s="55" t="s">
        <v>234</v>
      </c>
      <c r="D12" s="55" t="s">
        <v>232</v>
      </c>
      <c r="E12" s="55">
        <v>49321</v>
      </c>
      <c r="F12" s="55">
        <v>19278</v>
      </c>
      <c r="G12" s="56">
        <v>39.090000000000003</v>
      </c>
    </row>
    <row r="13" spans="1:7" ht="15" customHeight="1" x14ac:dyDescent="0.25">
      <c r="A13" s="55">
        <v>2025</v>
      </c>
      <c r="B13" s="55" t="s">
        <v>244</v>
      </c>
      <c r="C13" s="55" t="s">
        <v>234</v>
      </c>
      <c r="D13" s="55" t="s">
        <v>234</v>
      </c>
      <c r="E13" s="55">
        <v>93440</v>
      </c>
      <c r="F13" s="55">
        <v>44878</v>
      </c>
      <c r="G13" s="56">
        <v>48.03</v>
      </c>
    </row>
    <row r="14" spans="1:7" ht="15" customHeight="1" x14ac:dyDescent="0.25">
      <c r="A14" s="55">
        <v>2025</v>
      </c>
      <c r="B14" s="55" t="s">
        <v>238</v>
      </c>
      <c r="C14" s="55" t="s">
        <v>558</v>
      </c>
      <c r="D14" s="55" t="s">
        <v>232</v>
      </c>
      <c r="E14" s="55">
        <v>3</v>
      </c>
      <c r="F14" s="55">
        <v>2</v>
      </c>
      <c r="G14" s="56">
        <v>66.67</v>
      </c>
    </row>
    <row r="15" spans="1:7" ht="15" customHeight="1" x14ac:dyDescent="0.25">
      <c r="A15" s="55">
        <v>2025</v>
      </c>
      <c r="B15" s="55" t="s">
        <v>238</v>
      </c>
      <c r="C15" s="55" t="s">
        <v>558</v>
      </c>
      <c r="D15" s="55" t="s">
        <v>234</v>
      </c>
      <c r="E15" s="55">
        <v>3</v>
      </c>
      <c r="F15" s="55">
        <v>2</v>
      </c>
      <c r="G15" s="56">
        <v>66.67</v>
      </c>
    </row>
    <row r="16" spans="1:7" ht="15" customHeight="1" x14ac:dyDescent="0.25">
      <c r="A16" s="55">
        <v>2025</v>
      </c>
      <c r="B16" s="55" t="s">
        <v>238</v>
      </c>
      <c r="C16" s="55" t="s">
        <v>62</v>
      </c>
      <c r="D16" s="55" t="s">
        <v>233</v>
      </c>
      <c r="E16" s="55">
        <v>2011</v>
      </c>
      <c r="F16" s="55">
        <v>876</v>
      </c>
      <c r="G16" s="56">
        <v>43.56</v>
      </c>
    </row>
    <row r="17" spans="1:7" ht="15" customHeight="1" x14ac:dyDescent="0.25">
      <c r="A17" s="55">
        <v>2025</v>
      </c>
      <c r="B17" s="55" t="s">
        <v>238</v>
      </c>
      <c r="C17" s="55" t="s">
        <v>62</v>
      </c>
      <c r="D17" s="55" t="s">
        <v>232</v>
      </c>
      <c r="E17" s="55">
        <v>2004</v>
      </c>
      <c r="F17" s="55">
        <v>480</v>
      </c>
      <c r="G17" s="56">
        <v>23.95</v>
      </c>
    </row>
    <row r="18" spans="1:7" ht="15" customHeight="1" x14ac:dyDescent="0.25">
      <c r="A18" s="55">
        <v>2025</v>
      </c>
      <c r="B18" s="55" t="s">
        <v>238</v>
      </c>
      <c r="C18" s="55" t="s">
        <v>62</v>
      </c>
      <c r="D18" s="55" t="s">
        <v>234</v>
      </c>
      <c r="E18" s="55">
        <v>4015</v>
      </c>
      <c r="F18" s="55">
        <v>1356</v>
      </c>
      <c r="G18" s="56">
        <v>33.770000000000003</v>
      </c>
    </row>
    <row r="19" spans="1:7" ht="15" customHeight="1" x14ac:dyDescent="0.25">
      <c r="A19" s="55">
        <v>2025</v>
      </c>
      <c r="B19" s="55" t="s">
        <v>238</v>
      </c>
      <c r="C19" s="55" t="s">
        <v>52</v>
      </c>
      <c r="D19" s="55" t="s">
        <v>233</v>
      </c>
      <c r="E19" s="55">
        <v>6352</v>
      </c>
      <c r="F19" s="55">
        <v>3158</v>
      </c>
      <c r="G19" s="56">
        <v>49.72</v>
      </c>
    </row>
    <row r="20" spans="1:7" ht="15" customHeight="1" x14ac:dyDescent="0.25">
      <c r="A20" s="55">
        <v>2025</v>
      </c>
      <c r="B20" s="55" t="s">
        <v>238</v>
      </c>
      <c r="C20" s="55" t="s">
        <v>52</v>
      </c>
      <c r="D20" s="55" t="s">
        <v>232</v>
      </c>
      <c r="E20" s="55">
        <v>8682</v>
      </c>
      <c r="F20" s="55">
        <v>2772</v>
      </c>
      <c r="G20" s="56">
        <v>31.93</v>
      </c>
    </row>
    <row r="21" spans="1:7" ht="15" customHeight="1" x14ac:dyDescent="0.25">
      <c r="A21" s="55">
        <v>2025</v>
      </c>
      <c r="B21" s="55" t="s">
        <v>238</v>
      </c>
      <c r="C21" s="55" t="s">
        <v>52</v>
      </c>
      <c r="D21" s="55" t="s">
        <v>234</v>
      </c>
      <c r="E21" s="55">
        <v>15034</v>
      </c>
      <c r="F21" s="55">
        <v>5930</v>
      </c>
      <c r="G21" s="56">
        <v>39.44</v>
      </c>
    </row>
    <row r="22" spans="1:7" ht="15" customHeight="1" x14ac:dyDescent="0.25">
      <c r="A22" s="55">
        <v>2025</v>
      </c>
      <c r="B22" s="55" t="s">
        <v>238</v>
      </c>
      <c r="C22" s="55" t="s">
        <v>234</v>
      </c>
      <c r="D22" s="55" t="s">
        <v>233</v>
      </c>
      <c r="E22" s="55">
        <v>8363</v>
      </c>
      <c r="F22" s="55">
        <v>4034</v>
      </c>
      <c r="G22" s="56">
        <v>48.24</v>
      </c>
    </row>
    <row r="23" spans="1:7" ht="15" customHeight="1" x14ac:dyDescent="0.25">
      <c r="A23" s="55">
        <v>2025</v>
      </c>
      <c r="B23" s="55" t="s">
        <v>238</v>
      </c>
      <c r="C23" s="55" t="s">
        <v>234</v>
      </c>
      <c r="D23" s="55" t="s">
        <v>232</v>
      </c>
      <c r="E23" s="55">
        <v>10689</v>
      </c>
      <c r="F23" s="55">
        <v>3254</v>
      </c>
      <c r="G23" s="56">
        <v>30.44</v>
      </c>
    </row>
    <row r="24" spans="1:7" ht="15" customHeight="1" x14ac:dyDescent="0.25">
      <c r="A24" s="55">
        <v>2025</v>
      </c>
      <c r="B24" s="55" t="s">
        <v>238</v>
      </c>
      <c r="C24" s="55" t="s">
        <v>234</v>
      </c>
      <c r="D24" s="55" t="s">
        <v>234</v>
      </c>
      <c r="E24" s="55">
        <v>19052</v>
      </c>
      <c r="F24" s="55">
        <v>7288</v>
      </c>
      <c r="G24" s="56">
        <v>38.25</v>
      </c>
    </row>
    <row r="25" spans="1:7" ht="15" customHeight="1" x14ac:dyDescent="0.25">
      <c r="A25" s="55">
        <v>2025</v>
      </c>
      <c r="B25" s="55" t="s">
        <v>246</v>
      </c>
      <c r="C25" s="55" t="s">
        <v>558</v>
      </c>
      <c r="D25" s="55" t="s">
        <v>233</v>
      </c>
      <c r="E25" s="55">
        <v>37</v>
      </c>
      <c r="F25" s="55">
        <v>37</v>
      </c>
      <c r="G25" s="56">
        <v>100</v>
      </c>
    </row>
    <row r="26" spans="1:7" ht="15" customHeight="1" x14ac:dyDescent="0.25">
      <c r="A26" s="55">
        <v>2025</v>
      </c>
      <c r="B26" s="55" t="s">
        <v>246</v>
      </c>
      <c r="C26" s="55" t="s">
        <v>558</v>
      </c>
      <c r="D26" s="55" t="s">
        <v>232</v>
      </c>
      <c r="E26" s="55">
        <v>48</v>
      </c>
      <c r="F26" s="55">
        <v>47</v>
      </c>
      <c r="G26" s="56">
        <v>97.92</v>
      </c>
    </row>
    <row r="27" spans="1:7" ht="15" customHeight="1" x14ac:dyDescent="0.25">
      <c r="A27" s="55">
        <v>2025</v>
      </c>
      <c r="B27" s="55" t="s">
        <v>246</v>
      </c>
      <c r="C27" s="55" t="s">
        <v>558</v>
      </c>
      <c r="D27" s="55" t="s">
        <v>234</v>
      </c>
      <c r="E27" s="55">
        <v>85</v>
      </c>
      <c r="F27" s="55">
        <v>84</v>
      </c>
      <c r="G27" s="56">
        <v>98.82</v>
      </c>
    </row>
    <row r="28" spans="1:7" ht="15" customHeight="1" x14ac:dyDescent="0.25">
      <c r="A28" s="55">
        <v>2025</v>
      </c>
      <c r="B28" s="55" t="s">
        <v>246</v>
      </c>
      <c r="C28" s="55" t="s">
        <v>62</v>
      </c>
      <c r="D28" s="55" t="s">
        <v>233</v>
      </c>
      <c r="E28" s="55">
        <v>14460</v>
      </c>
      <c r="F28" s="55">
        <v>7131</v>
      </c>
      <c r="G28" s="56">
        <v>49.32</v>
      </c>
    </row>
    <row r="29" spans="1:7" ht="15" customHeight="1" x14ac:dyDescent="0.25">
      <c r="A29" s="55">
        <v>2025</v>
      </c>
      <c r="B29" s="55" t="s">
        <v>246</v>
      </c>
      <c r="C29" s="55" t="s">
        <v>62</v>
      </c>
      <c r="D29" s="55" t="s">
        <v>232</v>
      </c>
      <c r="E29" s="55">
        <v>5131</v>
      </c>
      <c r="F29" s="55">
        <v>1173</v>
      </c>
      <c r="G29" s="56">
        <v>22.86</v>
      </c>
    </row>
    <row r="30" spans="1:7" ht="15" customHeight="1" x14ac:dyDescent="0.25">
      <c r="A30" s="55">
        <v>2025</v>
      </c>
      <c r="B30" s="55" t="s">
        <v>246</v>
      </c>
      <c r="C30" s="55" t="s">
        <v>62</v>
      </c>
      <c r="D30" s="55" t="s">
        <v>234</v>
      </c>
      <c r="E30" s="55">
        <v>19591</v>
      </c>
      <c r="F30" s="55">
        <v>8304</v>
      </c>
      <c r="G30" s="56">
        <v>42.39</v>
      </c>
    </row>
    <row r="31" spans="1:7" ht="15" customHeight="1" x14ac:dyDescent="0.25">
      <c r="A31" s="55">
        <v>2025</v>
      </c>
      <c r="B31" s="55" t="s">
        <v>246</v>
      </c>
      <c r="C31" s="55" t="s">
        <v>52</v>
      </c>
      <c r="D31" s="55" t="s">
        <v>233</v>
      </c>
      <c r="E31" s="55">
        <v>37985</v>
      </c>
      <c r="F31" s="55">
        <v>22466</v>
      </c>
      <c r="G31" s="56">
        <v>59.14</v>
      </c>
    </row>
    <row r="32" spans="1:7" ht="15" customHeight="1" x14ac:dyDescent="0.25">
      <c r="A32" s="55">
        <v>2025</v>
      </c>
      <c r="B32" s="55" t="s">
        <v>246</v>
      </c>
      <c r="C32" s="55" t="s">
        <v>52</v>
      </c>
      <c r="D32" s="55" t="s">
        <v>232</v>
      </c>
      <c r="E32" s="55">
        <v>54831</v>
      </c>
      <c r="F32" s="55">
        <v>21312</v>
      </c>
      <c r="G32" s="56">
        <v>38.869999999999997</v>
      </c>
    </row>
    <row r="33" spans="1:7" ht="15" customHeight="1" x14ac:dyDescent="0.25">
      <c r="A33" s="55">
        <v>2025</v>
      </c>
      <c r="B33" s="55" t="s">
        <v>246</v>
      </c>
      <c r="C33" s="55" t="s">
        <v>52</v>
      </c>
      <c r="D33" s="55" t="s">
        <v>234</v>
      </c>
      <c r="E33" s="55">
        <v>92816</v>
      </c>
      <c r="F33" s="55">
        <v>43778</v>
      </c>
      <c r="G33" s="56">
        <v>47.17</v>
      </c>
    </row>
    <row r="34" spans="1:7" ht="15" customHeight="1" x14ac:dyDescent="0.25">
      <c r="A34" s="55">
        <v>2025</v>
      </c>
      <c r="B34" s="55" t="s">
        <v>246</v>
      </c>
      <c r="C34" s="55" t="s">
        <v>234</v>
      </c>
      <c r="D34" s="55" t="s">
        <v>233</v>
      </c>
      <c r="E34" s="55">
        <v>52482</v>
      </c>
      <c r="F34" s="55">
        <v>29634</v>
      </c>
      <c r="G34" s="56">
        <v>56.47</v>
      </c>
    </row>
    <row r="35" spans="1:7" ht="15" customHeight="1" x14ac:dyDescent="0.25">
      <c r="A35" s="55">
        <v>2025</v>
      </c>
      <c r="B35" s="55" t="s">
        <v>246</v>
      </c>
      <c r="C35" s="55" t="s">
        <v>234</v>
      </c>
      <c r="D35" s="55" t="s">
        <v>232</v>
      </c>
      <c r="E35" s="55">
        <v>60010</v>
      </c>
      <c r="F35" s="55">
        <v>22532</v>
      </c>
      <c r="G35" s="56">
        <v>37.549999999999997</v>
      </c>
    </row>
    <row r="36" spans="1:7" ht="15" customHeight="1" x14ac:dyDescent="0.25">
      <c r="A36" s="55">
        <v>2025</v>
      </c>
      <c r="B36" s="55" t="s">
        <v>246</v>
      </c>
      <c r="C36" s="55" t="s">
        <v>234</v>
      </c>
      <c r="D36" s="55" t="s">
        <v>234</v>
      </c>
      <c r="E36" s="55">
        <v>112492</v>
      </c>
      <c r="F36" s="55">
        <v>52166</v>
      </c>
      <c r="G36" s="56">
        <v>46.37</v>
      </c>
    </row>
    <row r="37" spans="1:7" ht="15" customHeight="1" x14ac:dyDescent="0.25">
      <c r="A37" s="57">
        <v>2026</v>
      </c>
      <c r="B37" s="57" t="s">
        <v>244</v>
      </c>
      <c r="C37" s="57" t="s">
        <v>558</v>
      </c>
      <c r="D37" s="57" t="s">
        <v>233</v>
      </c>
      <c r="E37" s="57">
        <v>31</v>
      </c>
      <c r="F37" s="57">
        <v>31</v>
      </c>
      <c r="G37" s="58">
        <v>100</v>
      </c>
    </row>
    <row r="38" spans="1:7" ht="15" customHeight="1" x14ac:dyDescent="0.25">
      <c r="A38" s="57">
        <v>2026</v>
      </c>
      <c r="B38" s="57" t="s">
        <v>244</v>
      </c>
      <c r="C38" s="57" t="s">
        <v>558</v>
      </c>
      <c r="D38" s="57" t="s">
        <v>232</v>
      </c>
      <c r="E38" s="57">
        <v>69</v>
      </c>
      <c r="F38" s="57">
        <v>66</v>
      </c>
      <c r="G38" s="58">
        <v>95.65</v>
      </c>
    </row>
    <row r="39" spans="1:7" ht="15" customHeight="1" x14ac:dyDescent="0.25">
      <c r="A39" s="57">
        <v>2026</v>
      </c>
      <c r="B39" s="57" t="s">
        <v>244</v>
      </c>
      <c r="C39" s="57" t="s">
        <v>558</v>
      </c>
      <c r="D39" s="57" t="s">
        <v>234</v>
      </c>
      <c r="E39" s="57">
        <v>100</v>
      </c>
      <c r="F39" s="57">
        <v>97</v>
      </c>
      <c r="G39" s="58">
        <v>97</v>
      </c>
    </row>
    <row r="40" spans="1:7" ht="15" customHeight="1" x14ac:dyDescent="0.25">
      <c r="A40" s="57">
        <v>2026</v>
      </c>
      <c r="B40" s="57" t="s">
        <v>244</v>
      </c>
      <c r="C40" s="57" t="s">
        <v>62</v>
      </c>
      <c r="D40" s="57" t="s">
        <v>233</v>
      </c>
      <c r="E40" s="57">
        <v>13809</v>
      </c>
      <c r="F40" s="57">
        <v>4153</v>
      </c>
      <c r="G40" s="58">
        <v>30.07</v>
      </c>
    </row>
    <row r="41" spans="1:7" ht="15" customHeight="1" x14ac:dyDescent="0.25">
      <c r="A41" s="57">
        <v>2026</v>
      </c>
      <c r="B41" s="57" t="s">
        <v>244</v>
      </c>
      <c r="C41" s="57" t="s">
        <v>62</v>
      </c>
      <c r="D41" s="57" t="s">
        <v>232</v>
      </c>
      <c r="E41" s="57">
        <v>3685</v>
      </c>
      <c r="F41" s="57">
        <v>581</v>
      </c>
      <c r="G41" s="58">
        <v>15.77</v>
      </c>
    </row>
    <row r="42" spans="1:7" ht="15" customHeight="1" x14ac:dyDescent="0.25">
      <c r="A42" s="57">
        <v>2026</v>
      </c>
      <c r="B42" s="57" t="s">
        <v>244</v>
      </c>
      <c r="C42" s="57" t="s">
        <v>62</v>
      </c>
      <c r="D42" s="57" t="s">
        <v>234</v>
      </c>
      <c r="E42" s="57">
        <v>17494</v>
      </c>
      <c r="F42" s="57">
        <v>4734</v>
      </c>
      <c r="G42" s="58">
        <v>27.06</v>
      </c>
    </row>
    <row r="43" spans="1:7" ht="15" customHeight="1" x14ac:dyDescent="0.25">
      <c r="A43" s="57">
        <v>2026</v>
      </c>
      <c r="B43" s="57" t="s">
        <v>244</v>
      </c>
      <c r="C43" s="57" t="s">
        <v>559</v>
      </c>
      <c r="D43" s="57" t="s">
        <v>232</v>
      </c>
      <c r="E43" s="57">
        <v>306</v>
      </c>
      <c r="F43" s="57">
        <v>57</v>
      </c>
      <c r="G43" s="58">
        <v>18.63</v>
      </c>
    </row>
    <row r="44" spans="1:7" ht="15" customHeight="1" x14ac:dyDescent="0.25">
      <c r="A44" s="57">
        <v>2026</v>
      </c>
      <c r="B44" s="57" t="s">
        <v>244</v>
      </c>
      <c r="C44" s="57" t="s">
        <v>559</v>
      </c>
      <c r="D44" s="57" t="s">
        <v>234</v>
      </c>
      <c r="E44" s="57">
        <v>306</v>
      </c>
      <c r="F44" s="57">
        <v>57</v>
      </c>
      <c r="G44" s="58">
        <v>18.63</v>
      </c>
    </row>
    <row r="45" spans="1:7" ht="15" customHeight="1" x14ac:dyDescent="0.25">
      <c r="A45" s="57">
        <v>2026</v>
      </c>
      <c r="B45" s="57" t="s">
        <v>244</v>
      </c>
      <c r="C45" s="57" t="s">
        <v>560</v>
      </c>
      <c r="D45" s="57" t="s">
        <v>233</v>
      </c>
      <c r="E45" s="57">
        <v>601</v>
      </c>
      <c r="F45" s="57">
        <v>332</v>
      </c>
      <c r="G45" s="58">
        <v>55.24</v>
      </c>
    </row>
    <row r="46" spans="1:7" ht="15" customHeight="1" x14ac:dyDescent="0.25">
      <c r="A46" s="57">
        <v>2026</v>
      </c>
      <c r="B46" s="57" t="s">
        <v>244</v>
      </c>
      <c r="C46" s="57" t="s">
        <v>560</v>
      </c>
      <c r="D46" s="57" t="s">
        <v>232</v>
      </c>
      <c r="E46" s="57">
        <v>2027</v>
      </c>
      <c r="F46" s="57">
        <v>657</v>
      </c>
      <c r="G46" s="58">
        <v>32.409999999999997</v>
      </c>
    </row>
    <row r="47" spans="1:7" ht="15" customHeight="1" x14ac:dyDescent="0.25">
      <c r="A47" s="57">
        <v>2026</v>
      </c>
      <c r="B47" s="57" t="s">
        <v>244</v>
      </c>
      <c r="C47" s="57" t="s">
        <v>560</v>
      </c>
      <c r="D47" s="57" t="s">
        <v>234</v>
      </c>
      <c r="E47" s="57">
        <v>2628</v>
      </c>
      <c r="F47" s="57">
        <v>989</v>
      </c>
      <c r="G47" s="58">
        <v>37.630000000000003</v>
      </c>
    </row>
    <row r="48" spans="1:7" ht="15" customHeight="1" x14ac:dyDescent="0.25">
      <c r="A48" s="57">
        <v>2026</v>
      </c>
      <c r="B48" s="57" t="s">
        <v>244</v>
      </c>
      <c r="C48" s="57" t="s">
        <v>561</v>
      </c>
      <c r="D48" s="57" t="s">
        <v>233</v>
      </c>
      <c r="E48" s="57">
        <v>813</v>
      </c>
      <c r="F48" s="57">
        <v>181</v>
      </c>
      <c r="G48" s="58">
        <v>22.26</v>
      </c>
    </row>
    <row r="49" spans="1:7" ht="15" customHeight="1" x14ac:dyDescent="0.25">
      <c r="A49" s="57">
        <v>2026</v>
      </c>
      <c r="B49" s="57" t="s">
        <v>244</v>
      </c>
      <c r="C49" s="57" t="s">
        <v>561</v>
      </c>
      <c r="D49" s="57" t="s">
        <v>234</v>
      </c>
      <c r="E49" s="57">
        <v>813</v>
      </c>
      <c r="F49" s="57">
        <v>181</v>
      </c>
      <c r="G49" s="58">
        <v>22.26</v>
      </c>
    </row>
    <row r="50" spans="1:7" ht="15" customHeight="1" x14ac:dyDescent="0.25">
      <c r="A50" s="57">
        <v>2026</v>
      </c>
      <c r="B50" s="57" t="s">
        <v>244</v>
      </c>
      <c r="C50" s="57" t="s">
        <v>562</v>
      </c>
      <c r="D50" s="57" t="s">
        <v>233</v>
      </c>
      <c r="E50" s="57">
        <v>323</v>
      </c>
      <c r="F50" s="57">
        <v>175</v>
      </c>
      <c r="G50" s="58">
        <v>54.18</v>
      </c>
    </row>
    <row r="51" spans="1:7" ht="15" customHeight="1" x14ac:dyDescent="0.25">
      <c r="A51" s="57">
        <v>2026</v>
      </c>
      <c r="B51" s="57" t="s">
        <v>244</v>
      </c>
      <c r="C51" s="57" t="s">
        <v>562</v>
      </c>
      <c r="D51" s="57" t="s">
        <v>232</v>
      </c>
      <c r="E51" s="57">
        <v>326</v>
      </c>
      <c r="F51" s="57">
        <v>69</v>
      </c>
      <c r="G51" s="58">
        <v>21.17</v>
      </c>
    </row>
    <row r="52" spans="1:7" ht="15" customHeight="1" x14ac:dyDescent="0.25">
      <c r="A52" s="57">
        <v>2026</v>
      </c>
      <c r="B52" s="57" t="s">
        <v>244</v>
      </c>
      <c r="C52" s="57" t="s">
        <v>562</v>
      </c>
      <c r="D52" s="57" t="s">
        <v>234</v>
      </c>
      <c r="E52" s="57">
        <v>649</v>
      </c>
      <c r="F52" s="57">
        <v>244</v>
      </c>
      <c r="G52" s="58">
        <v>37.6</v>
      </c>
    </row>
    <row r="53" spans="1:7" ht="15" customHeight="1" x14ac:dyDescent="0.25">
      <c r="A53" s="57">
        <v>2026</v>
      </c>
      <c r="B53" s="57" t="s">
        <v>244</v>
      </c>
      <c r="C53" s="57" t="s">
        <v>52</v>
      </c>
      <c r="D53" s="57" t="s">
        <v>233</v>
      </c>
      <c r="E53" s="57">
        <v>29008</v>
      </c>
      <c r="F53" s="57">
        <v>17857</v>
      </c>
      <c r="G53" s="58">
        <v>61.56</v>
      </c>
    </row>
    <row r="54" spans="1:7" ht="15" customHeight="1" x14ac:dyDescent="0.25">
      <c r="A54" s="57">
        <v>2026</v>
      </c>
      <c r="B54" s="57" t="s">
        <v>244</v>
      </c>
      <c r="C54" s="57" t="s">
        <v>52</v>
      </c>
      <c r="D54" s="57" t="s">
        <v>232</v>
      </c>
      <c r="E54" s="57">
        <v>39977</v>
      </c>
      <c r="F54" s="57">
        <v>15879</v>
      </c>
      <c r="G54" s="58">
        <v>39.72</v>
      </c>
    </row>
    <row r="55" spans="1:7" ht="15" customHeight="1" x14ac:dyDescent="0.25">
      <c r="A55" s="57">
        <v>2026</v>
      </c>
      <c r="B55" s="57" t="s">
        <v>244</v>
      </c>
      <c r="C55" s="57" t="s">
        <v>52</v>
      </c>
      <c r="D55" s="57" t="s">
        <v>234</v>
      </c>
      <c r="E55" s="57">
        <v>68985</v>
      </c>
      <c r="F55" s="57">
        <v>33736</v>
      </c>
      <c r="G55" s="58">
        <v>48.9</v>
      </c>
    </row>
    <row r="56" spans="1:7" ht="15" customHeight="1" x14ac:dyDescent="0.25">
      <c r="A56" s="57">
        <v>2026</v>
      </c>
      <c r="B56" s="57" t="s">
        <v>244</v>
      </c>
      <c r="C56" s="57" t="s">
        <v>234</v>
      </c>
      <c r="D56" s="57" t="s">
        <v>233</v>
      </c>
      <c r="E56" s="57">
        <v>44585</v>
      </c>
      <c r="F56" s="57">
        <v>22729</v>
      </c>
      <c r="G56" s="58">
        <v>50.98</v>
      </c>
    </row>
    <row r="57" spans="1:7" ht="15" customHeight="1" x14ac:dyDescent="0.25">
      <c r="A57" s="57">
        <v>2026</v>
      </c>
      <c r="B57" s="57" t="s">
        <v>244</v>
      </c>
      <c r="C57" s="57" t="s">
        <v>234</v>
      </c>
      <c r="D57" s="57" t="s">
        <v>232</v>
      </c>
      <c r="E57" s="57">
        <v>46390</v>
      </c>
      <c r="F57" s="57">
        <v>17309</v>
      </c>
      <c r="G57" s="58">
        <v>37.31</v>
      </c>
    </row>
    <row r="58" spans="1:7" ht="15" customHeight="1" x14ac:dyDescent="0.25">
      <c r="A58" s="57">
        <v>2026</v>
      </c>
      <c r="B58" s="57" t="s">
        <v>244</v>
      </c>
      <c r="C58" s="57" t="s">
        <v>234</v>
      </c>
      <c r="D58" s="57" t="s">
        <v>234</v>
      </c>
      <c r="E58" s="57">
        <v>90975</v>
      </c>
      <c r="F58" s="57">
        <v>40038</v>
      </c>
      <c r="G58" s="58">
        <v>44.01</v>
      </c>
    </row>
    <row r="59" spans="1:7" ht="15" customHeight="1" x14ac:dyDescent="0.25">
      <c r="A59" s="57">
        <v>2026</v>
      </c>
      <c r="B59" s="57" t="s">
        <v>238</v>
      </c>
      <c r="C59" s="57" t="s">
        <v>558</v>
      </c>
      <c r="D59" s="57" t="s">
        <v>232</v>
      </c>
      <c r="E59" s="57">
        <v>2</v>
      </c>
      <c r="F59" s="57">
        <v>1</v>
      </c>
      <c r="G59" s="58">
        <v>50</v>
      </c>
    </row>
    <row r="60" spans="1:7" ht="15" customHeight="1" x14ac:dyDescent="0.25">
      <c r="A60" s="57">
        <v>2026</v>
      </c>
      <c r="B60" s="57" t="s">
        <v>238</v>
      </c>
      <c r="C60" s="57" t="s">
        <v>558</v>
      </c>
      <c r="D60" s="57" t="s">
        <v>234</v>
      </c>
      <c r="E60" s="57">
        <v>2</v>
      </c>
      <c r="F60" s="57">
        <v>1</v>
      </c>
      <c r="G60" s="58">
        <v>50</v>
      </c>
    </row>
    <row r="61" spans="1:7" ht="15" customHeight="1" x14ac:dyDescent="0.25">
      <c r="A61" s="57">
        <v>2026</v>
      </c>
      <c r="B61" s="57" t="s">
        <v>238</v>
      </c>
      <c r="C61" s="57" t="s">
        <v>62</v>
      </c>
      <c r="D61" s="57" t="s">
        <v>233</v>
      </c>
      <c r="E61" s="57">
        <v>2132</v>
      </c>
      <c r="F61" s="57">
        <v>584</v>
      </c>
      <c r="G61" s="58">
        <v>27.39</v>
      </c>
    </row>
    <row r="62" spans="1:7" ht="15" customHeight="1" x14ac:dyDescent="0.25">
      <c r="A62" s="57">
        <v>2026</v>
      </c>
      <c r="B62" s="57" t="s">
        <v>238</v>
      </c>
      <c r="C62" s="57" t="s">
        <v>62</v>
      </c>
      <c r="D62" s="57" t="s">
        <v>232</v>
      </c>
      <c r="E62" s="57">
        <v>1856</v>
      </c>
      <c r="F62" s="57">
        <v>283</v>
      </c>
      <c r="G62" s="58">
        <v>15.25</v>
      </c>
    </row>
    <row r="63" spans="1:7" ht="15" customHeight="1" x14ac:dyDescent="0.25">
      <c r="A63" s="57">
        <v>2026</v>
      </c>
      <c r="B63" s="57" t="s">
        <v>238</v>
      </c>
      <c r="C63" s="57" t="s">
        <v>62</v>
      </c>
      <c r="D63" s="57" t="s">
        <v>234</v>
      </c>
      <c r="E63" s="57">
        <v>3988</v>
      </c>
      <c r="F63" s="57">
        <v>867</v>
      </c>
      <c r="G63" s="58">
        <v>21.74</v>
      </c>
    </row>
    <row r="64" spans="1:7" ht="15" customHeight="1" x14ac:dyDescent="0.25">
      <c r="A64" s="57">
        <v>2026</v>
      </c>
      <c r="B64" s="57" t="s">
        <v>238</v>
      </c>
      <c r="C64" s="57" t="s">
        <v>559</v>
      </c>
      <c r="D64" s="57" t="s">
        <v>233</v>
      </c>
      <c r="E64" s="57">
        <v>3</v>
      </c>
      <c r="F64" s="57">
        <v>0</v>
      </c>
      <c r="G64" s="58">
        <v>0</v>
      </c>
    </row>
    <row r="65" spans="1:7" ht="15" customHeight="1" x14ac:dyDescent="0.25">
      <c r="A65" s="57">
        <v>2026</v>
      </c>
      <c r="B65" s="57" t="s">
        <v>238</v>
      </c>
      <c r="C65" s="57" t="s">
        <v>559</v>
      </c>
      <c r="D65" s="57" t="s">
        <v>232</v>
      </c>
      <c r="E65" s="57">
        <v>6</v>
      </c>
      <c r="F65" s="57">
        <v>1</v>
      </c>
      <c r="G65" s="58">
        <v>16.670000000000002</v>
      </c>
    </row>
    <row r="66" spans="1:7" ht="15" customHeight="1" x14ac:dyDescent="0.25">
      <c r="A66" s="57">
        <v>2026</v>
      </c>
      <c r="B66" s="57" t="s">
        <v>238</v>
      </c>
      <c r="C66" s="57" t="s">
        <v>559</v>
      </c>
      <c r="D66" s="57" t="s">
        <v>234</v>
      </c>
      <c r="E66" s="57">
        <v>9</v>
      </c>
      <c r="F66" s="57">
        <v>1</v>
      </c>
      <c r="G66" s="58">
        <v>11.11</v>
      </c>
    </row>
    <row r="67" spans="1:7" ht="15" customHeight="1" x14ac:dyDescent="0.25">
      <c r="A67" s="57">
        <v>2026</v>
      </c>
      <c r="B67" s="57" t="s">
        <v>238</v>
      </c>
      <c r="C67" s="57" t="s">
        <v>560</v>
      </c>
      <c r="D67" s="57" t="s">
        <v>233</v>
      </c>
      <c r="E67" s="57">
        <v>17</v>
      </c>
      <c r="F67" s="57">
        <v>4</v>
      </c>
      <c r="G67" s="58">
        <v>23.53</v>
      </c>
    </row>
    <row r="68" spans="1:7" ht="15" customHeight="1" x14ac:dyDescent="0.25">
      <c r="A68" s="57">
        <v>2026</v>
      </c>
      <c r="B68" s="57" t="s">
        <v>238</v>
      </c>
      <c r="C68" s="57" t="s">
        <v>560</v>
      </c>
      <c r="D68" s="57" t="s">
        <v>232</v>
      </c>
      <c r="E68" s="57">
        <v>25</v>
      </c>
      <c r="F68" s="57">
        <v>5</v>
      </c>
      <c r="G68" s="58">
        <v>20</v>
      </c>
    </row>
    <row r="69" spans="1:7" ht="15" customHeight="1" x14ac:dyDescent="0.25">
      <c r="A69" s="57">
        <v>2026</v>
      </c>
      <c r="B69" s="57" t="s">
        <v>238</v>
      </c>
      <c r="C69" s="57" t="s">
        <v>560</v>
      </c>
      <c r="D69" s="57" t="s">
        <v>234</v>
      </c>
      <c r="E69" s="57">
        <v>42</v>
      </c>
      <c r="F69" s="57">
        <v>9</v>
      </c>
      <c r="G69" s="58">
        <v>21.43</v>
      </c>
    </row>
    <row r="70" spans="1:7" ht="15" customHeight="1" x14ac:dyDescent="0.25">
      <c r="A70" s="57">
        <v>2026</v>
      </c>
      <c r="B70" s="57" t="s">
        <v>238</v>
      </c>
      <c r="C70" s="57" t="s">
        <v>561</v>
      </c>
      <c r="D70" s="57" t="s">
        <v>233</v>
      </c>
      <c r="E70" s="57">
        <v>7</v>
      </c>
      <c r="F70" s="57">
        <v>1</v>
      </c>
      <c r="G70" s="58">
        <v>14.29</v>
      </c>
    </row>
    <row r="71" spans="1:7" ht="15" customHeight="1" x14ac:dyDescent="0.25">
      <c r="A71" s="57">
        <v>2026</v>
      </c>
      <c r="B71" s="57" t="s">
        <v>238</v>
      </c>
      <c r="C71" s="57" t="s">
        <v>561</v>
      </c>
      <c r="D71" s="57" t="s">
        <v>234</v>
      </c>
      <c r="E71" s="57">
        <v>7</v>
      </c>
      <c r="F71" s="57">
        <v>1</v>
      </c>
      <c r="G71" s="58">
        <v>14.29</v>
      </c>
    </row>
    <row r="72" spans="1:7" ht="15" customHeight="1" x14ac:dyDescent="0.25">
      <c r="A72" s="57">
        <v>2026</v>
      </c>
      <c r="B72" s="57" t="s">
        <v>238</v>
      </c>
      <c r="C72" s="57" t="s">
        <v>562</v>
      </c>
      <c r="D72" s="57" t="s">
        <v>233</v>
      </c>
      <c r="E72" s="57">
        <v>6</v>
      </c>
      <c r="F72" s="57">
        <v>2</v>
      </c>
      <c r="G72" s="58">
        <v>33.33</v>
      </c>
    </row>
    <row r="73" spans="1:7" ht="15" customHeight="1" x14ac:dyDescent="0.25">
      <c r="A73" s="57">
        <v>2026</v>
      </c>
      <c r="B73" s="57" t="s">
        <v>238</v>
      </c>
      <c r="C73" s="57" t="s">
        <v>562</v>
      </c>
      <c r="D73" s="57" t="s">
        <v>232</v>
      </c>
      <c r="E73" s="57">
        <v>9</v>
      </c>
      <c r="F73" s="57">
        <v>4</v>
      </c>
      <c r="G73" s="58">
        <v>44.44</v>
      </c>
    </row>
    <row r="74" spans="1:7" ht="15" customHeight="1" x14ac:dyDescent="0.25">
      <c r="A74" s="57">
        <v>2026</v>
      </c>
      <c r="B74" s="57" t="s">
        <v>238</v>
      </c>
      <c r="C74" s="57" t="s">
        <v>562</v>
      </c>
      <c r="D74" s="57" t="s">
        <v>234</v>
      </c>
      <c r="E74" s="57">
        <v>15</v>
      </c>
      <c r="F74" s="57">
        <v>6</v>
      </c>
      <c r="G74" s="58">
        <v>40</v>
      </c>
    </row>
    <row r="75" spans="1:7" ht="15" customHeight="1" x14ac:dyDescent="0.25">
      <c r="A75" s="57">
        <v>2026</v>
      </c>
      <c r="B75" s="57" t="s">
        <v>238</v>
      </c>
      <c r="C75" s="57" t="s">
        <v>52</v>
      </c>
      <c r="D75" s="57" t="s">
        <v>233</v>
      </c>
      <c r="E75" s="57">
        <v>5869</v>
      </c>
      <c r="F75" s="57">
        <v>2981</v>
      </c>
      <c r="G75" s="58">
        <v>50.79</v>
      </c>
    </row>
    <row r="76" spans="1:7" ht="15" customHeight="1" x14ac:dyDescent="0.25">
      <c r="A76" s="57">
        <v>2026</v>
      </c>
      <c r="B76" s="57" t="s">
        <v>238</v>
      </c>
      <c r="C76" s="57" t="s">
        <v>52</v>
      </c>
      <c r="D76" s="57" t="s">
        <v>232</v>
      </c>
      <c r="E76" s="57">
        <v>6875</v>
      </c>
      <c r="F76" s="57">
        <v>2021</v>
      </c>
      <c r="G76" s="58">
        <v>29.4</v>
      </c>
    </row>
    <row r="77" spans="1:7" ht="15" customHeight="1" x14ac:dyDescent="0.25">
      <c r="A77" s="57">
        <v>2026</v>
      </c>
      <c r="B77" s="57" t="s">
        <v>238</v>
      </c>
      <c r="C77" s="57" t="s">
        <v>52</v>
      </c>
      <c r="D77" s="57" t="s">
        <v>234</v>
      </c>
      <c r="E77" s="57">
        <v>12744</v>
      </c>
      <c r="F77" s="57">
        <v>5002</v>
      </c>
      <c r="G77" s="58">
        <v>39.25</v>
      </c>
    </row>
    <row r="78" spans="1:7" ht="15" customHeight="1" x14ac:dyDescent="0.25">
      <c r="A78" s="57">
        <v>2026</v>
      </c>
      <c r="B78" s="57" t="s">
        <v>238</v>
      </c>
      <c r="C78" s="57" t="s">
        <v>234</v>
      </c>
      <c r="D78" s="57" t="s">
        <v>233</v>
      </c>
      <c r="E78" s="57">
        <v>8034</v>
      </c>
      <c r="F78" s="57">
        <v>3572</v>
      </c>
      <c r="G78" s="58">
        <v>44.46</v>
      </c>
    </row>
    <row r="79" spans="1:7" ht="15" customHeight="1" x14ac:dyDescent="0.25">
      <c r="A79" s="57">
        <v>2026</v>
      </c>
      <c r="B79" s="57" t="s">
        <v>238</v>
      </c>
      <c r="C79" s="57" t="s">
        <v>234</v>
      </c>
      <c r="D79" s="57" t="s">
        <v>232</v>
      </c>
      <c r="E79" s="57">
        <v>8773</v>
      </c>
      <c r="F79" s="57">
        <v>2315</v>
      </c>
      <c r="G79" s="58">
        <v>26.39</v>
      </c>
    </row>
    <row r="80" spans="1:7" ht="15" customHeight="1" x14ac:dyDescent="0.25">
      <c r="A80" s="57">
        <v>2026</v>
      </c>
      <c r="B80" s="57" t="s">
        <v>238</v>
      </c>
      <c r="C80" s="57" t="s">
        <v>234</v>
      </c>
      <c r="D80" s="57" t="s">
        <v>234</v>
      </c>
      <c r="E80" s="57">
        <v>16807</v>
      </c>
      <c r="F80" s="57">
        <v>5887</v>
      </c>
      <c r="G80" s="58">
        <v>35.03</v>
      </c>
    </row>
    <row r="81" spans="1:7" ht="15" customHeight="1" x14ac:dyDescent="0.25">
      <c r="A81" s="57">
        <v>2026</v>
      </c>
      <c r="B81" s="57" t="s">
        <v>246</v>
      </c>
      <c r="C81" s="57" t="s">
        <v>558</v>
      </c>
      <c r="D81" s="57" t="s">
        <v>233</v>
      </c>
      <c r="E81" s="57">
        <v>31</v>
      </c>
      <c r="F81" s="57">
        <v>31</v>
      </c>
      <c r="G81" s="58">
        <v>100</v>
      </c>
    </row>
    <row r="82" spans="1:7" ht="15" customHeight="1" x14ac:dyDescent="0.25">
      <c r="A82" s="57">
        <v>2026</v>
      </c>
      <c r="B82" s="57" t="s">
        <v>246</v>
      </c>
      <c r="C82" s="57" t="s">
        <v>558</v>
      </c>
      <c r="D82" s="57" t="s">
        <v>232</v>
      </c>
      <c r="E82" s="57">
        <v>71</v>
      </c>
      <c r="F82" s="57">
        <v>67</v>
      </c>
      <c r="G82" s="58">
        <v>94.37</v>
      </c>
    </row>
    <row r="83" spans="1:7" ht="15" customHeight="1" x14ac:dyDescent="0.25">
      <c r="A83" s="57">
        <v>2026</v>
      </c>
      <c r="B83" s="57" t="s">
        <v>246</v>
      </c>
      <c r="C83" s="57" t="s">
        <v>558</v>
      </c>
      <c r="D83" s="57" t="s">
        <v>234</v>
      </c>
      <c r="E83" s="57">
        <v>102</v>
      </c>
      <c r="F83" s="57">
        <v>98</v>
      </c>
      <c r="G83" s="58">
        <v>96.08</v>
      </c>
    </row>
    <row r="84" spans="1:7" ht="15" customHeight="1" x14ac:dyDescent="0.25">
      <c r="A84" s="57">
        <v>2026</v>
      </c>
      <c r="B84" s="57" t="s">
        <v>246</v>
      </c>
      <c r="C84" s="57" t="s">
        <v>62</v>
      </c>
      <c r="D84" s="57" t="s">
        <v>233</v>
      </c>
      <c r="E84" s="57">
        <v>15941</v>
      </c>
      <c r="F84" s="57">
        <v>4737</v>
      </c>
      <c r="G84" s="58">
        <v>29.72</v>
      </c>
    </row>
    <row r="85" spans="1:7" ht="15" customHeight="1" x14ac:dyDescent="0.25">
      <c r="A85" s="57">
        <v>2026</v>
      </c>
      <c r="B85" s="57" t="s">
        <v>246</v>
      </c>
      <c r="C85" s="57" t="s">
        <v>62</v>
      </c>
      <c r="D85" s="57" t="s">
        <v>232</v>
      </c>
      <c r="E85" s="57">
        <v>5541</v>
      </c>
      <c r="F85" s="57">
        <v>864</v>
      </c>
      <c r="G85" s="58">
        <v>15.59</v>
      </c>
    </row>
    <row r="86" spans="1:7" ht="15" customHeight="1" x14ac:dyDescent="0.25">
      <c r="A86" s="57">
        <v>2026</v>
      </c>
      <c r="B86" s="57" t="s">
        <v>246</v>
      </c>
      <c r="C86" s="57" t="s">
        <v>62</v>
      </c>
      <c r="D86" s="57" t="s">
        <v>234</v>
      </c>
      <c r="E86" s="57">
        <v>21482</v>
      </c>
      <c r="F86" s="57">
        <v>5601</v>
      </c>
      <c r="G86" s="58">
        <v>26.07</v>
      </c>
    </row>
    <row r="87" spans="1:7" ht="15" customHeight="1" x14ac:dyDescent="0.25">
      <c r="A87" s="57">
        <v>2026</v>
      </c>
      <c r="B87" s="57" t="s">
        <v>246</v>
      </c>
      <c r="C87" s="57" t="s">
        <v>559</v>
      </c>
      <c r="D87" s="57" t="s">
        <v>233</v>
      </c>
      <c r="E87" s="57">
        <v>3</v>
      </c>
      <c r="F87" s="57">
        <v>0</v>
      </c>
      <c r="G87" s="58">
        <v>0</v>
      </c>
    </row>
    <row r="88" spans="1:7" ht="15" customHeight="1" x14ac:dyDescent="0.25">
      <c r="A88" s="57">
        <v>2026</v>
      </c>
      <c r="B88" s="57" t="s">
        <v>246</v>
      </c>
      <c r="C88" s="57" t="s">
        <v>559</v>
      </c>
      <c r="D88" s="57" t="s">
        <v>232</v>
      </c>
      <c r="E88" s="57">
        <v>312</v>
      </c>
      <c r="F88" s="57">
        <v>58</v>
      </c>
      <c r="G88" s="58">
        <v>18.59</v>
      </c>
    </row>
    <row r="89" spans="1:7" ht="15" customHeight="1" x14ac:dyDescent="0.25">
      <c r="A89" s="57">
        <v>2026</v>
      </c>
      <c r="B89" s="57" t="s">
        <v>246</v>
      </c>
      <c r="C89" s="57" t="s">
        <v>559</v>
      </c>
      <c r="D89" s="57" t="s">
        <v>234</v>
      </c>
      <c r="E89" s="57">
        <v>315</v>
      </c>
      <c r="F89" s="57">
        <v>58</v>
      </c>
      <c r="G89" s="58">
        <v>18.41</v>
      </c>
    </row>
    <row r="90" spans="1:7" ht="15" customHeight="1" x14ac:dyDescent="0.25">
      <c r="A90" s="57">
        <v>2026</v>
      </c>
      <c r="B90" s="57" t="s">
        <v>246</v>
      </c>
      <c r="C90" s="57" t="s">
        <v>560</v>
      </c>
      <c r="D90" s="57" t="s">
        <v>233</v>
      </c>
      <c r="E90" s="57">
        <v>618</v>
      </c>
      <c r="F90" s="57">
        <v>336</v>
      </c>
      <c r="G90" s="58">
        <v>54.37</v>
      </c>
    </row>
    <row r="91" spans="1:7" ht="15" customHeight="1" x14ac:dyDescent="0.25">
      <c r="A91" s="57">
        <v>2026</v>
      </c>
      <c r="B91" s="57" t="s">
        <v>246</v>
      </c>
      <c r="C91" s="57" t="s">
        <v>560</v>
      </c>
      <c r="D91" s="57" t="s">
        <v>232</v>
      </c>
      <c r="E91" s="57">
        <v>2052</v>
      </c>
      <c r="F91" s="57">
        <v>662</v>
      </c>
      <c r="G91" s="58">
        <v>32.26</v>
      </c>
    </row>
    <row r="92" spans="1:7" ht="15" customHeight="1" x14ac:dyDescent="0.25">
      <c r="A92" s="57">
        <v>2026</v>
      </c>
      <c r="B92" s="57" t="s">
        <v>246</v>
      </c>
      <c r="C92" s="57" t="s">
        <v>560</v>
      </c>
      <c r="D92" s="57" t="s">
        <v>234</v>
      </c>
      <c r="E92" s="57">
        <v>2670</v>
      </c>
      <c r="F92" s="57">
        <v>998</v>
      </c>
      <c r="G92" s="58">
        <v>37.380000000000003</v>
      </c>
    </row>
    <row r="93" spans="1:7" ht="15" customHeight="1" x14ac:dyDescent="0.25">
      <c r="A93" s="57">
        <v>2026</v>
      </c>
      <c r="B93" s="57" t="s">
        <v>246</v>
      </c>
      <c r="C93" s="57" t="s">
        <v>561</v>
      </c>
      <c r="D93" s="57" t="s">
        <v>233</v>
      </c>
      <c r="E93" s="57">
        <v>820</v>
      </c>
      <c r="F93" s="57">
        <v>182</v>
      </c>
      <c r="G93" s="58">
        <v>22.2</v>
      </c>
    </row>
    <row r="94" spans="1:7" ht="15" customHeight="1" x14ac:dyDescent="0.25">
      <c r="A94" s="57">
        <v>2026</v>
      </c>
      <c r="B94" s="57" t="s">
        <v>246</v>
      </c>
      <c r="C94" s="57" t="s">
        <v>561</v>
      </c>
      <c r="D94" s="57" t="s">
        <v>234</v>
      </c>
      <c r="E94" s="57">
        <v>820</v>
      </c>
      <c r="F94" s="57">
        <v>182</v>
      </c>
      <c r="G94" s="58">
        <v>22.2</v>
      </c>
    </row>
    <row r="95" spans="1:7" ht="15" customHeight="1" x14ac:dyDescent="0.25">
      <c r="A95" s="57">
        <v>2026</v>
      </c>
      <c r="B95" s="57" t="s">
        <v>246</v>
      </c>
      <c r="C95" s="57" t="s">
        <v>562</v>
      </c>
      <c r="D95" s="57" t="s">
        <v>233</v>
      </c>
      <c r="E95" s="57">
        <v>329</v>
      </c>
      <c r="F95" s="57">
        <v>177</v>
      </c>
      <c r="G95" s="58">
        <v>53.8</v>
      </c>
    </row>
    <row r="96" spans="1:7" ht="15" customHeight="1" x14ac:dyDescent="0.25">
      <c r="A96" s="57">
        <v>2026</v>
      </c>
      <c r="B96" s="57" t="s">
        <v>246</v>
      </c>
      <c r="C96" s="57" t="s">
        <v>562</v>
      </c>
      <c r="D96" s="57" t="s">
        <v>232</v>
      </c>
      <c r="E96" s="57">
        <v>335</v>
      </c>
      <c r="F96" s="57">
        <v>73</v>
      </c>
      <c r="G96" s="58">
        <v>21.79</v>
      </c>
    </row>
    <row r="97" spans="1:7" ht="15" customHeight="1" x14ac:dyDescent="0.25">
      <c r="A97" s="57">
        <v>2026</v>
      </c>
      <c r="B97" s="57" t="s">
        <v>246</v>
      </c>
      <c r="C97" s="57" t="s">
        <v>562</v>
      </c>
      <c r="D97" s="57" t="s">
        <v>234</v>
      </c>
      <c r="E97" s="57">
        <v>664</v>
      </c>
      <c r="F97" s="57">
        <v>250</v>
      </c>
      <c r="G97" s="58">
        <v>37.65</v>
      </c>
    </row>
    <row r="98" spans="1:7" ht="15" customHeight="1" x14ac:dyDescent="0.25">
      <c r="A98" s="57">
        <v>2026</v>
      </c>
      <c r="B98" s="57" t="s">
        <v>246</v>
      </c>
      <c r="C98" s="57" t="s">
        <v>52</v>
      </c>
      <c r="D98" s="57" t="s">
        <v>233</v>
      </c>
      <c r="E98" s="57">
        <v>34877</v>
      </c>
      <c r="F98" s="57">
        <v>20838</v>
      </c>
      <c r="G98" s="58">
        <v>59.75</v>
      </c>
    </row>
    <row r="99" spans="1:7" ht="15" customHeight="1" x14ac:dyDescent="0.25">
      <c r="A99" s="57">
        <v>2026</v>
      </c>
      <c r="B99" s="57" t="s">
        <v>246</v>
      </c>
      <c r="C99" s="57" t="s">
        <v>52</v>
      </c>
      <c r="D99" s="57" t="s">
        <v>232</v>
      </c>
      <c r="E99" s="57">
        <v>46852</v>
      </c>
      <c r="F99" s="57">
        <v>17900</v>
      </c>
      <c r="G99" s="58">
        <v>38.21</v>
      </c>
    </row>
    <row r="100" spans="1:7" ht="15" customHeight="1" x14ac:dyDescent="0.25">
      <c r="A100" s="57">
        <v>2026</v>
      </c>
      <c r="B100" s="57" t="s">
        <v>246</v>
      </c>
      <c r="C100" s="57" t="s">
        <v>52</v>
      </c>
      <c r="D100" s="57" t="s">
        <v>234</v>
      </c>
      <c r="E100" s="57">
        <v>81729</v>
      </c>
      <c r="F100" s="57">
        <v>38738</v>
      </c>
      <c r="G100" s="58">
        <v>47.4</v>
      </c>
    </row>
    <row r="101" spans="1:7" ht="15" customHeight="1" x14ac:dyDescent="0.25">
      <c r="A101" s="57">
        <v>2026</v>
      </c>
      <c r="B101" s="57" t="s">
        <v>246</v>
      </c>
      <c r="C101" s="57" t="s">
        <v>234</v>
      </c>
      <c r="D101" s="57" t="s">
        <v>233</v>
      </c>
      <c r="E101" s="57">
        <v>52619</v>
      </c>
      <c r="F101" s="57">
        <v>26301</v>
      </c>
      <c r="G101" s="58">
        <v>49.98</v>
      </c>
    </row>
    <row r="102" spans="1:7" ht="15" customHeight="1" x14ac:dyDescent="0.25">
      <c r="A102" s="57">
        <v>2026</v>
      </c>
      <c r="B102" s="57" t="s">
        <v>246</v>
      </c>
      <c r="C102" s="57" t="s">
        <v>234</v>
      </c>
      <c r="D102" s="57" t="s">
        <v>232</v>
      </c>
      <c r="E102" s="57">
        <v>55163</v>
      </c>
      <c r="F102" s="57">
        <v>19624</v>
      </c>
      <c r="G102" s="58">
        <v>35.57</v>
      </c>
    </row>
    <row r="103" spans="1:7" ht="15" customHeight="1" x14ac:dyDescent="0.25">
      <c r="A103" s="57">
        <v>2026</v>
      </c>
      <c r="B103" s="57" t="s">
        <v>246</v>
      </c>
      <c r="C103" s="57" t="s">
        <v>234</v>
      </c>
      <c r="D103" s="57" t="s">
        <v>234</v>
      </c>
      <c r="E103" s="57">
        <v>107782</v>
      </c>
      <c r="F103" s="57">
        <v>45925</v>
      </c>
      <c r="G103" s="58">
        <v>42.61</v>
      </c>
    </row>
  </sheetData>
  <autoFilter ref="A1:G103" xr:uid="{00000000-0009-0000-0000-00002F000000}"/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4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4" customWidth="1"/>
    <col min="3" max="3" width="12" customWidth="1"/>
    <col min="5" max="5" width="10" customWidth="1"/>
  </cols>
  <sheetData>
    <row r="1" spans="1:6" ht="15" customHeight="1" x14ac:dyDescent="0.25">
      <c r="A1" s="19" t="s">
        <v>121</v>
      </c>
      <c r="B1" s="19" t="s">
        <v>247</v>
      </c>
      <c r="C1" s="19" t="s">
        <v>131</v>
      </c>
      <c r="D1" s="19" t="s">
        <v>122</v>
      </c>
      <c r="E1" s="19" t="s">
        <v>306</v>
      </c>
      <c r="F1" s="19" t="s">
        <v>132</v>
      </c>
    </row>
    <row r="2" spans="1:6" ht="15" customHeight="1" x14ac:dyDescent="0.25">
      <c r="A2" s="55">
        <v>2025</v>
      </c>
      <c r="B2" s="55" t="s">
        <v>246</v>
      </c>
      <c r="C2" s="55" t="s">
        <v>563</v>
      </c>
      <c r="D2" s="55">
        <v>69918</v>
      </c>
      <c r="E2" s="55">
        <v>29185</v>
      </c>
      <c r="F2" s="56">
        <v>41.74</v>
      </c>
    </row>
    <row r="3" spans="1:6" ht="15" customHeight="1" x14ac:dyDescent="0.25">
      <c r="A3" s="55">
        <v>2025</v>
      </c>
      <c r="B3" s="55" t="s">
        <v>246</v>
      </c>
      <c r="C3" s="55" t="s">
        <v>564</v>
      </c>
      <c r="D3" s="55">
        <v>23522</v>
      </c>
      <c r="E3" s="55">
        <v>15693</v>
      </c>
      <c r="F3" s="56">
        <v>66.72</v>
      </c>
    </row>
    <row r="4" spans="1:6" ht="15" customHeight="1" x14ac:dyDescent="0.25">
      <c r="A4" s="55">
        <v>2025</v>
      </c>
      <c r="B4" s="55" t="s">
        <v>246</v>
      </c>
      <c r="C4" s="55" t="s">
        <v>238</v>
      </c>
      <c r="D4" s="55">
        <v>19052</v>
      </c>
      <c r="E4" s="55">
        <v>7288</v>
      </c>
      <c r="F4" s="56">
        <v>38.25</v>
      </c>
    </row>
    <row r="5" spans="1:6" ht="15" customHeight="1" x14ac:dyDescent="0.25">
      <c r="A5" s="55">
        <v>2025</v>
      </c>
      <c r="B5" s="55" t="s">
        <v>246</v>
      </c>
      <c r="C5" s="55" t="s">
        <v>234</v>
      </c>
      <c r="D5" s="55">
        <v>112492</v>
      </c>
      <c r="E5" s="55">
        <v>52166</v>
      </c>
      <c r="F5" s="56">
        <v>46.37</v>
      </c>
    </row>
    <row r="6" spans="1:6" ht="15" customHeight="1" x14ac:dyDescent="0.25">
      <c r="A6" s="55">
        <v>2025</v>
      </c>
      <c r="B6" s="55" t="s">
        <v>565</v>
      </c>
      <c r="C6" s="55" t="s">
        <v>563</v>
      </c>
      <c r="D6" s="55">
        <v>13387</v>
      </c>
      <c r="E6" s="55">
        <v>5058</v>
      </c>
      <c r="F6" s="56">
        <v>37.78</v>
      </c>
    </row>
    <row r="7" spans="1:6" ht="15" customHeight="1" x14ac:dyDescent="0.25">
      <c r="A7" s="55">
        <v>2025</v>
      </c>
      <c r="B7" s="55" t="s">
        <v>565</v>
      </c>
      <c r="C7" s="55" t="s">
        <v>564</v>
      </c>
      <c r="D7" s="55">
        <v>2879</v>
      </c>
      <c r="E7" s="55">
        <v>1808</v>
      </c>
      <c r="F7" s="56">
        <v>62.8</v>
      </c>
    </row>
    <row r="8" spans="1:6" ht="15" customHeight="1" x14ac:dyDescent="0.25">
      <c r="A8" s="55">
        <v>2025</v>
      </c>
      <c r="B8" s="55" t="s">
        <v>565</v>
      </c>
      <c r="C8" s="55" t="s">
        <v>238</v>
      </c>
      <c r="D8" s="55">
        <v>4507</v>
      </c>
      <c r="E8" s="55">
        <v>1851</v>
      </c>
      <c r="F8" s="56">
        <v>41.07</v>
      </c>
    </row>
    <row r="9" spans="1:6" ht="15" customHeight="1" x14ac:dyDescent="0.25">
      <c r="A9" s="55">
        <v>2025</v>
      </c>
      <c r="B9" s="55" t="s">
        <v>565</v>
      </c>
      <c r="C9" s="55" t="s">
        <v>234</v>
      </c>
      <c r="D9" s="55">
        <v>20773</v>
      </c>
      <c r="E9" s="55">
        <v>8717</v>
      </c>
      <c r="F9" s="56">
        <v>41.96</v>
      </c>
    </row>
    <row r="10" spans="1:6" ht="15" customHeight="1" x14ac:dyDescent="0.25">
      <c r="A10" s="55">
        <v>2025</v>
      </c>
      <c r="B10" s="55" t="s">
        <v>566</v>
      </c>
      <c r="C10" s="55" t="s">
        <v>563</v>
      </c>
      <c r="D10" s="55">
        <v>10582</v>
      </c>
      <c r="E10" s="55">
        <v>4021</v>
      </c>
      <c r="F10" s="56">
        <v>38</v>
      </c>
    </row>
    <row r="11" spans="1:6" ht="15" customHeight="1" x14ac:dyDescent="0.25">
      <c r="A11" s="55">
        <v>2025</v>
      </c>
      <c r="B11" s="55" t="s">
        <v>566</v>
      </c>
      <c r="C11" s="55" t="s">
        <v>564</v>
      </c>
      <c r="D11" s="55">
        <v>4143</v>
      </c>
      <c r="E11" s="55">
        <v>3004</v>
      </c>
      <c r="F11" s="56">
        <v>72.510000000000005</v>
      </c>
    </row>
    <row r="12" spans="1:6" ht="15" customHeight="1" x14ac:dyDescent="0.25">
      <c r="A12" s="55">
        <v>2025</v>
      </c>
      <c r="B12" s="55" t="s">
        <v>566</v>
      </c>
      <c r="C12" s="55" t="s">
        <v>238</v>
      </c>
      <c r="D12" s="55">
        <v>3551</v>
      </c>
      <c r="E12" s="55">
        <v>1231</v>
      </c>
      <c r="F12" s="56">
        <v>34.67</v>
      </c>
    </row>
    <row r="13" spans="1:6" ht="15" customHeight="1" x14ac:dyDescent="0.25">
      <c r="A13" s="55">
        <v>2025</v>
      </c>
      <c r="B13" s="55" t="s">
        <v>566</v>
      </c>
      <c r="C13" s="55" t="s">
        <v>234</v>
      </c>
      <c r="D13" s="55">
        <v>18276</v>
      </c>
      <c r="E13" s="55">
        <v>8256</v>
      </c>
      <c r="F13" s="56">
        <v>45.17</v>
      </c>
    </row>
    <row r="14" spans="1:6" ht="15" customHeight="1" x14ac:dyDescent="0.25">
      <c r="A14" s="55">
        <v>2025</v>
      </c>
      <c r="B14" s="55" t="s">
        <v>567</v>
      </c>
      <c r="C14" s="55" t="s">
        <v>563</v>
      </c>
      <c r="D14" s="55">
        <v>13782</v>
      </c>
      <c r="E14" s="55">
        <v>5414</v>
      </c>
      <c r="F14" s="56">
        <v>39.28</v>
      </c>
    </row>
    <row r="15" spans="1:6" ht="15" customHeight="1" x14ac:dyDescent="0.25">
      <c r="A15" s="55">
        <v>2025</v>
      </c>
      <c r="B15" s="55" t="s">
        <v>567</v>
      </c>
      <c r="C15" s="55" t="s">
        <v>564</v>
      </c>
      <c r="D15" s="55">
        <v>5370</v>
      </c>
      <c r="E15" s="55">
        <v>2974</v>
      </c>
      <c r="F15" s="56">
        <v>55.38</v>
      </c>
    </row>
    <row r="16" spans="1:6" ht="15" customHeight="1" x14ac:dyDescent="0.25">
      <c r="A16" s="55">
        <v>2025</v>
      </c>
      <c r="B16" s="55" t="s">
        <v>567</v>
      </c>
      <c r="C16" s="55" t="s">
        <v>238</v>
      </c>
      <c r="D16" s="55">
        <v>2394</v>
      </c>
      <c r="E16" s="55">
        <v>765</v>
      </c>
      <c r="F16" s="56">
        <v>31.95</v>
      </c>
    </row>
    <row r="17" spans="1:6" ht="15" customHeight="1" x14ac:dyDescent="0.25">
      <c r="A17" s="55">
        <v>2025</v>
      </c>
      <c r="B17" s="55" t="s">
        <v>567</v>
      </c>
      <c r="C17" s="55" t="s">
        <v>234</v>
      </c>
      <c r="D17" s="55">
        <v>21546</v>
      </c>
      <c r="E17" s="55">
        <v>9153</v>
      </c>
      <c r="F17" s="56">
        <v>42.48</v>
      </c>
    </row>
    <row r="18" spans="1:6" ht="15" customHeight="1" x14ac:dyDescent="0.25">
      <c r="A18" s="55">
        <v>2025</v>
      </c>
      <c r="B18" s="55" t="s">
        <v>98</v>
      </c>
      <c r="C18" s="55" t="s">
        <v>563</v>
      </c>
      <c r="D18" s="55">
        <v>32167</v>
      </c>
      <c r="E18" s="55">
        <v>14692</v>
      </c>
      <c r="F18" s="56">
        <v>45.67</v>
      </c>
    </row>
    <row r="19" spans="1:6" ht="15" customHeight="1" x14ac:dyDescent="0.25">
      <c r="A19" s="55">
        <v>2025</v>
      </c>
      <c r="B19" s="55" t="s">
        <v>98</v>
      </c>
      <c r="C19" s="55" t="s">
        <v>564</v>
      </c>
      <c r="D19" s="55">
        <v>11130</v>
      </c>
      <c r="E19" s="55">
        <v>7907</v>
      </c>
      <c r="F19" s="56">
        <v>71.040000000000006</v>
      </c>
    </row>
    <row r="20" spans="1:6" ht="15" customHeight="1" x14ac:dyDescent="0.25">
      <c r="A20" s="55">
        <v>2025</v>
      </c>
      <c r="B20" s="55" t="s">
        <v>98</v>
      </c>
      <c r="C20" s="55" t="s">
        <v>238</v>
      </c>
      <c r="D20" s="55">
        <v>8600</v>
      </c>
      <c r="E20" s="55">
        <v>3441</v>
      </c>
      <c r="F20" s="56">
        <v>40.01</v>
      </c>
    </row>
    <row r="21" spans="1:6" ht="15" customHeight="1" x14ac:dyDescent="0.25">
      <c r="A21" s="55">
        <v>2025</v>
      </c>
      <c r="B21" s="55" t="s">
        <v>98</v>
      </c>
      <c r="C21" s="55" t="s">
        <v>234</v>
      </c>
      <c r="D21" s="55">
        <v>51897</v>
      </c>
      <c r="E21" s="55">
        <v>26040</v>
      </c>
      <c r="F21" s="56">
        <v>50.18</v>
      </c>
    </row>
    <row r="22" spans="1:6" ht="15" customHeight="1" x14ac:dyDescent="0.25">
      <c r="A22" s="57">
        <v>2026</v>
      </c>
      <c r="B22" s="57" t="s">
        <v>246</v>
      </c>
      <c r="C22" s="57" t="s">
        <v>563</v>
      </c>
      <c r="D22" s="57">
        <v>66427</v>
      </c>
      <c r="E22" s="57">
        <v>24009</v>
      </c>
      <c r="F22" s="58">
        <v>36.14</v>
      </c>
    </row>
    <row r="23" spans="1:6" ht="15" customHeight="1" x14ac:dyDescent="0.25">
      <c r="A23" s="57">
        <v>2026</v>
      </c>
      <c r="B23" s="57" t="s">
        <v>246</v>
      </c>
      <c r="C23" s="57" t="s">
        <v>564</v>
      </c>
      <c r="D23" s="57">
        <v>24548</v>
      </c>
      <c r="E23" s="57">
        <v>16029</v>
      </c>
      <c r="F23" s="58">
        <v>65.3</v>
      </c>
    </row>
    <row r="24" spans="1:6" ht="15" customHeight="1" x14ac:dyDescent="0.25">
      <c r="A24" s="57">
        <v>2026</v>
      </c>
      <c r="B24" s="57" t="s">
        <v>246</v>
      </c>
      <c r="C24" s="57" t="s">
        <v>238</v>
      </c>
      <c r="D24" s="57">
        <v>16807</v>
      </c>
      <c r="E24" s="57">
        <v>5887</v>
      </c>
      <c r="F24" s="58">
        <v>35.03</v>
      </c>
    </row>
    <row r="25" spans="1:6" ht="15" customHeight="1" x14ac:dyDescent="0.25">
      <c r="A25" s="57">
        <v>2026</v>
      </c>
      <c r="B25" s="57" t="s">
        <v>246</v>
      </c>
      <c r="C25" s="57" t="s">
        <v>234</v>
      </c>
      <c r="D25" s="57">
        <v>107782</v>
      </c>
      <c r="E25" s="57">
        <v>45925</v>
      </c>
      <c r="F25" s="58">
        <v>42.61</v>
      </c>
    </row>
    <row r="26" spans="1:6" ht="15" customHeight="1" x14ac:dyDescent="0.25">
      <c r="A26" s="57">
        <v>2026</v>
      </c>
      <c r="B26" s="57" t="s">
        <v>565</v>
      </c>
      <c r="C26" s="57" t="s">
        <v>563</v>
      </c>
      <c r="D26" s="57">
        <v>13296</v>
      </c>
      <c r="E26" s="57">
        <v>4448</v>
      </c>
      <c r="F26" s="58">
        <v>33.450000000000003</v>
      </c>
    </row>
    <row r="27" spans="1:6" ht="15" customHeight="1" x14ac:dyDescent="0.25">
      <c r="A27" s="57">
        <v>2026</v>
      </c>
      <c r="B27" s="57" t="s">
        <v>565</v>
      </c>
      <c r="C27" s="57" t="s">
        <v>564</v>
      </c>
      <c r="D27" s="57">
        <v>2825</v>
      </c>
      <c r="E27" s="57">
        <v>1738</v>
      </c>
      <c r="F27" s="58">
        <v>61.52</v>
      </c>
    </row>
    <row r="28" spans="1:6" ht="15" customHeight="1" x14ac:dyDescent="0.25">
      <c r="A28" s="57">
        <v>2026</v>
      </c>
      <c r="B28" s="57" t="s">
        <v>565</v>
      </c>
      <c r="C28" s="57" t="s">
        <v>238</v>
      </c>
      <c r="D28" s="57">
        <v>4271</v>
      </c>
      <c r="E28" s="57">
        <v>1647</v>
      </c>
      <c r="F28" s="58">
        <v>38.56</v>
      </c>
    </row>
    <row r="29" spans="1:6" ht="15" customHeight="1" x14ac:dyDescent="0.25">
      <c r="A29" s="57">
        <v>2026</v>
      </c>
      <c r="B29" s="57" t="s">
        <v>565</v>
      </c>
      <c r="C29" s="57" t="s">
        <v>234</v>
      </c>
      <c r="D29" s="57">
        <v>20392</v>
      </c>
      <c r="E29" s="57">
        <v>7833</v>
      </c>
      <c r="F29" s="58">
        <v>38.409999999999997</v>
      </c>
    </row>
    <row r="30" spans="1:6" ht="15" customHeight="1" x14ac:dyDescent="0.25">
      <c r="A30" s="57">
        <v>2026</v>
      </c>
      <c r="B30" s="57" t="s">
        <v>566</v>
      </c>
      <c r="C30" s="57" t="s">
        <v>563</v>
      </c>
      <c r="D30" s="57">
        <v>9732</v>
      </c>
      <c r="E30" s="57">
        <v>3497</v>
      </c>
      <c r="F30" s="58">
        <v>35.93</v>
      </c>
    </row>
    <row r="31" spans="1:6" ht="15" customHeight="1" x14ac:dyDescent="0.25">
      <c r="A31" s="57">
        <v>2026</v>
      </c>
      <c r="B31" s="57" t="s">
        <v>566</v>
      </c>
      <c r="C31" s="57" t="s">
        <v>564</v>
      </c>
      <c r="D31" s="57">
        <v>4134</v>
      </c>
      <c r="E31" s="57">
        <v>2969</v>
      </c>
      <c r="F31" s="58">
        <v>71.819999999999993</v>
      </c>
    </row>
    <row r="32" spans="1:6" ht="15" customHeight="1" x14ac:dyDescent="0.25">
      <c r="A32" s="57">
        <v>2026</v>
      </c>
      <c r="B32" s="57" t="s">
        <v>566</v>
      </c>
      <c r="C32" s="57" t="s">
        <v>238</v>
      </c>
      <c r="D32" s="57">
        <v>2843</v>
      </c>
      <c r="E32" s="57">
        <v>907</v>
      </c>
      <c r="F32" s="58">
        <v>31.9</v>
      </c>
    </row>
    <row r="33" spans="1:6" ht="15" customHeight="1" x14ac:dyDescent="0.25">
      <c r="A33" s="57">
        <v>2026</v>
      </c>
      <c r="B33" s="57" t="s">
        <v>566</v>
      </c>
      <c r="C33" s="57" t="s">
        <v>234</v>
      </c>
      <c r="D33" s="57">
        <v>16709</v>
      </c>
      <c r="E33" s="57">
        <v>7373</v>
      </c>
      <c r="F33" s="58">
        <v>44.13</v>
      </c>
    </row>
    <row r="34" spans="1:6" ht="15" customHeight="1" x14ac:dyDescent="0.25">
      <c r="A34" s="57">
        <v>2026</v>
      </c>
      <c r="B34" s="57" t="s">
        <v>567</v>
      </c>
      <c r="C34" s="57" t="s">
        <v>563</v>
      </c>
      <c r="D34" s="57">
        <v>13670</v>
      </c>
      <c r="E34" s="57">
        <v>4363</v>
      </c>
      <c r="F34" s="58">
        <v>31.92</v>
      </c>
    </row>
    <row r="35" spans="1:6" ht="15" customHeight="1" x14ac:dyDescent="0.25">
      <c r="A35" s="57">
        <v>2026</v>
      </c>
      <c r="B35" s="57" t="s">
        <v>567</v>
      </c>
      <c r="C35" s="57" t="s">
        <v>564</v>
      </c>
      <c r="D35" s="57">
        <v>5804</v>
      </c>
      <c r="E35" s="57">
        <v>3145</v>
      </c>
      <c r="F35" s="58">
        <v>54.19</v>
      </c>
    </row>
    <row r="36" spans="1:6" ht="15" customHeight="1" x14ac:dyDescent="0.25">
      <c r="A36" s="57">
        <v>2026</v>
      </c>
      <c r="B36" s="57" t="s">
        <v>567</v>
      </c>
      <c r="C36" s="57" t="s">
        <v>238</v>
      </c>
      <c r="D36" s="57">
        <v>2163</v>
      </c>
      <c r="E36" s="57">
        <v>515</v>
      </c>
      <c r="F36" s="58">
        <v>23.81</v>
      </c>
    </row>
    <row r="37" spans="1:6" ht="15" customHeight="1" x14ac:dyDescent="0.25">
      <c r="A37" s="57">
        <v>2026</v>
      </c>
      <c r="B37" s="57" t="s">
        <v>567</v>
      </c>
      <c r="C37" s="57" t="s">
        <v>234</v>
      </c>
      <c r="D37" s="57">
        <v>21637</v>
      </c>
      <c r="E37" s="57">
        <v>8023</v>
      </c>
      <c r="F37" s="58">
        <v>37.08</v>
      </c>
    </row>
    <row r="38" spans="1:6" ht="15" customHeight="1" x14ac:dyDescent="0.25">
      <c r="A38" s="57">
        <v>2026</v>
      </c>
      <c r="B38" s="57" t="s">
        <v>98</v>
      </c>
      <c r="C38" s="57" t="s">
        <v>563</v>
      </c>
      <c r="D38" s="57">
        <v>29729</v>
      </c>
      <c r="E38" s="57">
        <v>11701</v>
      </c>
      <c r="F38" s="58">
        <v>39.36</v>
      </c>
    </row>
    <row r="39" spans="1:6" ht="15" customHeight="1" x14ac:dyDescent="0.25">
      <c r="A39" s="57">
        <v>2026</v>
      </c>
      <c r="B39" s="57" t="s">
        <v>98</v>
      </c>
      <c r="C39" s="57" t="s">
        <v>564</v>
      </c>
      <c r="D39" s="57">
        <v>11785</v>
      </c>
      <c r="E39" s="57">
        <v>8177</v>
      </c>
      <c r="F39" s="58">
        <v>69.38</v>
      </c>
    </row>
    <row r="40" spans="1:6" ht="15" customHeight="1" x14ac:dyDescent="0.25">
      <c r="A40" s="57">
        <v>2026</v>
      </c>
      <c r="B40" s="57" t="s">
        <v>98</v>
      </c>
      <c r="C40" s="57" t="s">
        <v>238</v>
      </c>
      <c r="D40" s="57">
        <v>7530</v>
      </c>
      <c r="E40" s="57">
        <v>2818</v>
      </c>
      <c r="F40" s="58">
        <v>37.42</v>
      </c>
    </row>
    <row r="41" spans="1:6" ht="15" customHeight="1" x14ac:dyDescent="0.25">
      <c r="A41" s="57">
        <v>2026</v>
      </c>
      <c r="B41" s="57" t="s">
        <v>98</v>
      </c>
      <c r="C41" s="57" t="s">
        <v>234</v>
      </c>
      <c r="D41" s="57">
        <v>49044</v>
      </c>
      <c r="E41" s="57">
        <v>22696</v>
      </c>
      <c r="F41" s="58">
        <v>46.28</v>
      </c>
    </row>
  </sheetData>
  <autoFilter ref="A1:F41" xr:uid="{00000000-0009-0000-0000-000030000000}"/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9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8" customWidth="1"/>
    <col min="3" max="3" width="7" customWidth="1"/>
    <col min="4" max="4" width="10" customWidth="1"/>
    <col min="5" max="5" width="9" customWidth="1"/>
    <col min="6" max="6" width="10" customWidth="1"/>
    <col min="7" max="7" width="7" customWidth="1"/>
    <col min="14" max="14" width="9" customWidth="1"/>
  </cols>
  <sheetData>
    <row r="1" spans="1:15" ht="39" customHeight="1" x14ac:dyDescent="0.25">
      <c r="A1" s="19" t="s">
        <v>568</v>
      </c>
      <c r="B1" s="19" t="s">
        <v>383</v>
      </c>
      <c r="C1" s="19" t="s">
        <v>121</v>
      </c>
      <c r="D1" s="19" t="s">
        <v>234</v>
      </c>
      <c r="E1" s="19" t="s">
        <v>196</v>
      </c>
      <c r="F1" s="19" t="s">
        <v>122</v>
      </c>
      <c r="G1" s="19" t="s">
        <v>230</v>
      </c>
      <c r="H1" s="19" t="s">
        <v>134</v>
      </c>
      <c r="I1" s="19" t="s">
        <v>135</v>
      </c>
      <c r="J1" s="19" t="s">
        <v>136</v>
      </c>
      <c r="K1" s="19" t="s">
        <v>137</v>
      </c>
      <c r="L1" s="19" t="s">
        <v>138</v>
      </c>
      <c r="M1" s="19" t="s">
        <v>569</v>
      </c>
      <c r="N1" s="19" t="s">
        <v>306</v>
      </c>
      <c r="O1" s="19" t="s">
        <v>132</v>
      </c>
    </row>
    <row r="2" spans="1:15" ht="15" customHeight="1" x14ac:dyDescent="0.25">
      <c r="A2" s="55" t="s">
        <v>570</v>
      </c>
      <c r="B2" s="55" t="s">
        <v>465</v>
      </c>
      <c r="C2" s="55">
        <v>2025</v>
      </c>
      <c r="D2" s="55">
        <v>14144</v>
      </c>
      <c r="E2" s="55">
        <v>470</v>
      </c>
      <c r="F2" s="55">
        <v>13674</v>
      </c>
      <c r="G2" s="55">
        <v>3096</v>
      </c>
      <c r="H2" s="55">
        <v>2103</v>
      </c>
      <c r="I2" s="55">
        <v>2394</v>
      </c>
      <c r="J2" s="55">
        <v>1829</v>
      </c>
      <c r="K2" s="55">
        <v>1823</v>
      </c>
      <c r="L2" s="55">
        <v>1171</v>
      </c>
      <c r="M2" s="55">
        <v>1258</v>
      </c>
      <c r="N2" s="55">
        <v>12416</v>
      </c>
      <c r="O2" s="56">
        <v>90.8</v>
      </c>
    </row>
    <row r="3" spans="1:15" ht="15" customHeight="1" x14ac:dyDescent="0.25">
      <c r="A3" s="57" t="s">
        <v>570</v>
      </c>
      <c r="B3" s="57" t="s">
        <v>465</v>
      </c>
      <c r="C3" s="57">
        <v>2026</v>
      </c>
      <c r="D3" s="57">
        <v>15828</v>
      </c>
      <c r="E3" s="57">
        <v>633</v>
      </c>
      <c r="F3" s="57">
        <v>15195</v>
      </c>
      <c r="G3" s="57">
        <v>2806</v>
      </c>
      <c r="H3" s="57">
        <v>2183</v>
      </c>
      <c r="I3" s="57">
        <v>2587</v>
      </c>
      <c r="J3" s="57">
        <v>2240</v>
      </c>
      <c r="K3" s="57">
        <v>2210</v>
      </c>
      <c r="L3" s="57">
        <v>1539</v>
      </c>
      <c r="M3" s="57">
        <v>1630</v>
      </c>
      <c r="N3" s="57">
        <v>13565</v>
      </c>
      <c r="O3" s="58">
        <v>89.27</v>
      </c>
    </row>
    <row r="4" spans="1:15" ht="15" customHeight="1" x14ac:dyDescent="0.25">
      <c r="A4" s="57" t="s">
        <v>571</v>
      </c>
      <c r="B4" s="57" t="s">
        <v>318</v>
      </c>
      <c r="C4" s="57">
        <v>2026</v>
      </c>
      <c r="D4" s="57">
        <v>336</v>
      </c>
      <c r="E4" s="57">
        <v>22</v>
      </c>
      <c r="F4" s="57">
        <v>314</v>
      </c>
      <c r="G4" s="57">
        <v>89</v>
      </c>
      <c r="H4" s="57">
        <v>65</v>
      </c>
      <c r="I4" s="57">
        <v>70</v>
      </c>
      <c r="J4" s="57">
        <v>41</v>
      </c>
      <c r="K4" s="57">
        <v>20</v>
      </c>
      <c r="L4" s="57">
        <v>12</v>
      </c>
      <c r="M4" s="57">
        <v>17</v>
      </c>
      <c r="N4" s="57">
        <v>297</v>
      </c>
      <c r="O4" s="58">
        <v>94.59</v>
      </c>
    </row>
    <row r="5" spans="1:15" ht="15" customHeight="1" x14ac:dyDescent="0.25">
      <c r="A5" s="55" t="s">
        <v>572</v>
      </c>
      <c r="B5" s="55" t="s">
        <v>147</v>
      </c>
      <c r="C5" s="55">
        <v>2025</v>
      </c>
      <c r="D5" s="55">
        <v>639</v>
      </c>
      <c r="E5" s="55">
        <v>25</v>
      </c>
      <c r="F5" s="55">
        <v>614</v>
      </c>
      <c r="G5" s="55">
        <v>138</v>
      </c>
      <c r="H5" s="55">
        <v>67</v>
      </c>
      <c r="I5" s="55">
        <v>75</v>
      </c>
      <c r="J5" s="55">
        <v>76</v>
      </c>
      <c r="K5" s="55">
        <v>63</v>
      </c>
      <c r="L5" s="55">
        <v>89</v>
      </c>
      <c r="M5" s="55">
        <v>106</v>
      </c>
      <c r="N5" s="55">
        <v>508</v>
      </c>
      <c r="O5" s="56">
        <v>82.74</v>
      </c>
    </row>
    <row r="6" spans="1:15" ht="15" customHeight="1" x14ac:dyDescent="0.25">
      <c r="A6" s="57" t="s">
        <v>572</v>
      </c>
      <c r="B6" s="57" t="s">
        <v>147</v>
      </c>
      <c r="C6" s="57">
        <v>2026</v>
      </c>
      <c r="D6" s="57">
        <v>617</v>
      </c>
      <c r="E6" s="57">
        <v>37</v>
      </c>
      <c r="F6" s="57">
        <v>580</v>
      </c>
      <c r="G6" s="57">
        <v>127</v>
      </c>
      <c r="H6" s="57">
        <v>61</v>
      </c>
      <c r="I6" s="57">
        <v>74</v>
      </c>
      <c r="J6" s="57">
        <v>60</v>
      </c>
      <c r="K6" s="57">
        <v>88</v>
      </c>
      <c r="L6" s="57">
        <v>114</v>
      </c>
      <c r="M6" s="57">
        <v>56</v>
      </c>
      <c r="N6" s="57">
        <v>524</v>
      </c>
      <c r="O6" s="58">
        <v>90.34</v>
      </c>
    </row>
    <row r="7" spans="1:15" ht="15" customHeight="1" x14ac:dyDescent="0.25">
      <c r="A7" s="55" t="s">
        <v>573</v>
      </c>
      <c r="B7" s="55" t="s">
        <v>469</v>
      </c>
      <c r="C7" s="55">
        <v>2025</v>
      </c>
      <c r="D7" s="55">
        <v>2</v>
      </c>
      <c r="E7" s="55">
        <v>0</v>
      </c>
      <c r="F7" s="55">
        <v>2</v>
      </c>
      <c r="G7" s="55">
        <v>1</v>
      </c>
      <c r="H7" s="55">
        <v>1</v>
      </c>
      <c r="I7" s="55">
        <v>0</v>
      </c>
      <c r="J7" s="55">
        <v>0</v>
      </c>
      <c r="K7" s="55">
        <v>0</v>
      </c>
      <c r="L7" s="55">
        <v>0</v>
      </c>
      <c r="M7" s="55">
        <v>0</v>
      </c>
      <c r="N7" s="55">
        <v>2</v>
      </c>
      <c r="O7" s="56">
        <v>100</v>
      </c>
    </row>
    <row r="8" spans="1:15" ht="15" customHeight="1" x14ac:dyDescent="0.25">
      <c r="A8" s="57" t="s">
        <v>573</v>
      </c>
      <c r="B8" s="57" t="s">
        <v>469</v>
      </c>
      <c r="C8" s="57">
        <v>2026</v>
      </c>
      <c r="D8" s="57">
        <v>7</v>
      </c>
      <c r="E8" s="57">
        <v>0</v>
      </c>
      <c r="F8" s="57">
        <v>7</v>
      </c>
      <c r="G8" s="57">
        <v>5</v>
      </c>
      <c r="H8" s="57">
        <v>1</v>
      </c>
      <c r="I8" s="57">
        <v>0</v>
      </c>
      <c r="J8" s="57">
        <v>1</v>
      </c>
      <c r="K8" s="57">
        <v>0</v>
      </c>
      <c r="L8" s="57">
        <v>0</v>
      </c>
      <c r="M8" s="57">
        <v>0</v>
      </c>
      <c r="N8" s="57">
        <v>7</v>
      </c>
      <c r="O8" s="58">
        <v>100</v>
      </c>
    </row>
    <row r="9" spans="1:15" ht="15" customHeight="1" x14ac:dyDescent="0.25">
      <c r="A9" s="55" t="s">
        <v>574</v>
      </c>
      <c r="B9" s="55" t="s">
        <v>470</v>
      </c>
      <c r="C9" s="55">
        <v>2025</v>
      </c>
      <c r="D9" s="55">
        <v>311</v>
      </c>
      <c r="E9" s="55">
        <v>8</v>
      </c>
      <c r="F9" s="55">
        <v>303</v>
      </c>
      <c r="G9" s="55">
        <v>79</v>
      </c>
      <c r="H9" s="55">
        <v>94</v>
      </c>
      <c r="I9" s="55">
        <v>50</v>
      </c>
      <c r="J9" s="55">
        <v>42</v>
      </c>
      <c r="K9" s="55">
        <v>17</v>
      </c>
      <c r="L9" s="55">
        <v>9</v>
      </c>
      <c r="M9" s="55">
        <v>12</v>
      </c>
      <c r="N9" s="55">
        <v>291</v>
      </c>
      <c r="O9" s="56">
        <v>96.04</v>
      </c>
    </row>
    <row r="10" spans="1:15" ht="15" customHeight="1" x14ac:dyDescent="0.25">
      <c r="A10" s="57" t="s">
        <v>574</v>
      </c>
      <c r="B10" s="57" t="s">
        <v>470</v>
      </c>
      <c r="C10" s="57">
        <v>2026</v>
      </c>
      <c r="D10" s="57">
        <v>331</v>
      </c>
      <c r="E10" s="57">
        <v>5</v>
      </c>
      <c r="F10" s="57">
        <v>326</v>
      </c>
      <c r="G10" s="57">
        <v>151</v>
      </c>
      <c r="H10" s="57">
        <v>98</v>
      </c>
      <c r="I10" s="57">
        <v>45</v>
      </c>
      <c r="J10" s="57">
        <v>21</v>
      </c>
      <c r="K10" s="57">
        <v>4</v>
      </c>
      <c r="L10" s="57">
        <v>3</v>
      </c>
      <c r="M10" s="57">
        <v>4</v>
      </c>
      <c r="N10" s="57">
        <v>322</v>
      </c>
      <c r="O10" s="58">
        <v>98.77</v>
      </c>
    </row>
    <row r="11" spans="1:15" ht="15" customHeight="1" x14ac:dyDescent="0.25">
      <c r="A11" s="55" t="s">
        <v>575</v>
      </c>
      <c r="B11" s="55" t="s">
        <v>151</v>
      </c>
      <c r="C11" s="55">
        <v>2025</v>
      </c>
      <c r="D11" s="55">
        <v>41768</v>
      </c>
      <c r="E11" s="55">
        <v>659</v>
      </c>
      <c r="F11" s="55">
        <v>41109</v>
      </c>
      <c r="G11" s="55">
        <v>8325</v>
      </c>
      <c r="H11" s="55">
        <v>4107</v>
      </c>
      <c r="I11" s="55">
        <v>4194</v>
      </c>
      <c r="J11" s="55">
        <v>4633</v>
      </c>
      <c r="K11" s="55">
        <v>4927</v>
      </c>
      <c r="L11" s="55">
        <v>5193</v>
      </c>
      <c r="M11" s="55">
        <v>9730</v>
      </c>
      <c r="N11" s="55">
        <v>31379</v>
      </c>
      <c r="O11" s="56">
        <v>76.33</v>
      </c>
    </row>
    <row r="12" spans="1:15" ht="15" customHeight="1" x14ac:dyDescent="0.25">
      <c r="A12" s="57" t="s">
        <v>575</v>
      </c>
      <c r="B12" s="57" t="s">
        <v>151</v>
      </c>
      <c r="C12" s="57">
        <v>2026</v>
      </c>
      <c r="D12" s="57">
        <v>40140</v>
      </c>
      <c r="E12" s="57">
        <v>813</v>
      </c>
      <c r="F12" s="57">
        <v>39327</v>
      </c>
      <c r="G12" s="57">
        <v>8479</v>
      </c>
      <c r="H12" s="57">
        <v>3532</v>
      </c>
      <c r="I12" s="57">
        <v>3858</v>
      </c>
      <c r="J12" s="57">
        <v>4160</v>
      </c>
      <c r="K12" s="57">
        <v>4509</v>
      </c>
      <c r="L12" s="57">
        <v>5254</v>
      </c>
      <c r="M12" s="57">
        <v>9535</v>
      </c>
      <c r="N12" s="57">
        <v>29792</v>
      </c>
      <c r="O12" s="58">
        <v>75.75</v>
      </c>
    </row>
    <row r="13" spans="1:15" ht="15" customHeight="1" x14ac:dyDescent="0.25">
      <c r="A13" s="57" t="s">
        <v>576</v>
      </c>
      <c r="B13" s="57" t="s">
        <v>325</v>
      </c>
      <c r="C13" s="57">
        <v>2026</v>
      </c>
      <c r="D13" s="57">
        <v>1020</v>
      </c>
      <c r="E13" s="57">
        <v>44</v>
      </c>
      <c r="F13" s="57">
        <v>976</v>
      </c>
      <c r="G13" s="57">
        <v>118</v>
      </c>
      <c r="H13" s="57">
        <v>62</v>
      </c>
      <c r="I13" s="57">
        <v>84</v>
      </c>
      <c r="J13" s="57">
        <v>91</v>
      </c>
      <c r="K13" s="57">
        <v>126</v>
      </c>
      <c r="L13" s="57">
        <v>121</v>
      </c>
      <c r="M13" s="57">
        <v>374</v>
      </c>
      <c r="N13" s="57">
        <v>602</v>
      </c>
      <c r="O13" s="58">
        <v>61.68</v>
      </c>
    </row>
    <row r="14" spans="1:15" ht="15" customHeight="1" x14ac:dyDescent="0.25">
      <c r="A14" s="55" t="s">
        <v>577</v>
      </c>
      <c r="B14" s="55" t="s">
        <v>153</v>
      </c>
      <c r="C14" s="55">
        <v>2025</v>
      </c>
      <c r="D14" s="55">
        <v>94780</v>
      </c>
      <c r="E14" s="55">
        <v>2158</v>
      </c>
      <c r="F14" s="55">
        <v>92622</v>
      </c>
      <c r="G14" s="55">
        <v>14494</v>
      </c>
      <c r="H14" s="55">
        <v>8041</v>
      </c>
      <c r="I14" s="55">
        <v>8905</v>
      </c>
      <c r="J14" s="55">
        <v>9333</v>
      </c>
      <c r="K14" s="55">
        <v>10596</v>
      </c>
      <c r="L14" s="55">
        <v>11434</v>
      </c>
      <c r="M14" s="55">
        <v>29819</v>
      </c>
      <c r="N14" s="55">
        <v>62803</v>
      </c>
      <c r="O14" s="56">
        <v>67.81</v>
      </c>
    </row>
    <row r="15" spans="1:15" ht="15" customHeight="1" x14ac:dyDescent="0.25">
      <c r="A15" s="57" t="s">
        <v>577</v>
      </c>
      <c r="B15" s="57" t="s">
        <v>153</v>
      </c>
      <c r="C15" s="57">
        <v>2026</v>
      </c>
      <c r="D15" s="57">
        <v>83644</v>
      </c>
      <c r="E15" s="57">
        <v>2031</v>
      </c>
      <c r="F15" s="57">
        <v>81613</v>
      </c>
      <c r="G15" s="57">
        <v>10447</v>
      </c>
      <c r="H15" s="57">
        <v>5832</v>
      </c>
      <c r="I15" s="57">
        <v>6900</v>
      </c>
      <c r="J15" s="57">
        <v>8214</v>
      </c>
      <c r="K15" s="57">
        <v>9850</v>
      </c>
      <c r="L15" s="57">
        <v>11533</v>
      </c>
      <c r="M15" s="57">
        <v>28837</v>
      </c>
      <c r="N15" s="57">
        <v>52776</v>
      </c>
      <c r="O15" s="58">
        <v>64.67</v>
      </c>
    </row>
    <row r="16" spans="1:15" ht="15" customHeight="1" x14ac:dyDescent="0.25">
      <c r="A16" s="57" t="s">
        <v>578</v>
      </c>
      <c r="B16" s="57" t="s">
        <v>326</v>
      </c>
      <c r="C16" s="57">
        <v>2026</v>
      </c>
      <c r="D16" s="57">
        <v>3775</v>
      </c>
      <c r="E16" s="57">
        <v>131</v>
      </c>
      <c r="F16" s="57">
        <v>3644</v>
      </c>
      <c r="G16" s="57">
        <v>415</v>
      </c>
      <c r="H16" s="57">
        <v>273</v>
      </c>
      <c r="I16" s="57">
        <v>358</v>
      </c>
      <c r="J16" s="57">
        <v>521</v>
      </c>
      <c r="K16" s="57">
        <v>523</v>
      </c>
      <c r="L16" s="57">
        <v>437</v>
      </c>
      <c r="M16" s="57">
        <v>1117</v>
      </c>
      <c r="N16" s="57">
        <v>2527</v>
      </c>
      <c r="O16" s="58">
        <v>69.349999999999994</v>
      </c>
    </row>
    <row r="17" spans="1:15" ht="15" customHeight="1" x14ac:dyDescent="0.25">
      <c r="A17" s="55" t="s">
        <v>579</v>
      </c>
      <c r="B17" s="55" t="s">
        <v>155</v>
      </c>
      <c r="C17" s="55">
        <v>2025</v>
      </c>
      <c r="D17" s="55">
        <v>1439</v>
      </c>
      <c r="E17" s="55">
        <v>68</v>
      </c>
      <c r="F17" s="55">
        <v>1371</v>
      </c>
      <c r="G17" s="55">
        <v>71</v>
      </c>
      <c r="H17" s="55">
        <v>101</v>
      </c>
      <c r="I17" s="55">
        <v>143</v>
      </c>
      <c r="J17" s="55">
        <v>188</v>
      </c>
      <c r="K17" s="55">
        <v>257</v>
      </c>
      <c r="L17" s="55">
        <v>232</v>
      </c>
      <c r="M17" s="55">
        <v>379</v>
      </c>
      <c r="N17" s="55">
        <v>992</v>
      </c>
      <c r="O17" s="56">
        <v>72.36</v>
      </c>
    </row>
    <row r="18" spans="1:15" ht="15" customHeight="1" x14ac:dyDescent="0.25">
      <c r="A18" s="57" t="s">
        <v>579</v>
      </c>
      <c r="B18" s="57" t="s">
        <v>155</v>
      </c>
      <c r="C18" s="57">
        <v>2026</v>
      </c>
      <c r="D18" s="57">
        <v>1764</v>
      </c>
      <c r="E18" s="57">
        <v>96</v>
      </c>
      <c r="F18" s="57">
        <v>1668</v>
      </c>
      <c r="G18" s="57">
        <v>99</v>
      </c>
      <c r="H18" s="57">
        <v>132</v>
      </c>
      <c r="I18" s="57">
        <v>230</v>
      </c>
      <c r="J18" s="57">
        <v>234</v>
      </c>
      <c r="K18" s="57">
        <v>286</v>
      </c>
      <c r="L18" s="57">
        <v>260</v>
      </c>
      <c r="M18" s="57">
        <v>427</v>
      </c>
      <c r="N18" s="57">
        <v>1241</v>
      </c>
      <c r="O18" s="58">
        <v>74.400000000000006</v>
      </c>
    </row>
    <row r="19" spans="1:15" ht="15" customHeight="1" x14ac:dyDescent="0.25">
      <c r="A19" s="55" t="s">
        <v>580</v>
      </c>
      <c r="B19" s="55" t="s">
        <v>327</v>
      </c>
      <c r="C19" s="55">
        <v>2025</v>
      </c>
      <c r="D19" s="55">
        <v>3</v>
      </c>
      <c r="E19" s="55">
        <v>0</v>
      </c>
      <c r="F19" s="55">
        <v>3</v>
      </c>
      <c r="G19" s="55">
        <v>0</v>
      </c>
      <c r="H19" s="55">
        <v>0</v>
      </c>
      <c r="I19" s="55">
        <v>0</v>
      </c>
      <c r="J19" s="55">
        <v>3</v>
      </c>
      <c r="K19" s="55">
        <v>0</v>
      </c>
      <c r="L19" s="55">
        <v>0</v>
      </c>
      <c r="M19" s="55">
        <v>0</v>
      </c>
      <c r="N19" s="55">
        <v>3</v>
      </c>
      <c r="O19" s="56">
        <v>100</v>
      </c>
    </row>
    <row r="20" spans="1:15" ht="15" customHeight="1" x14ac:dyDescent="0.25">
      <c r="A20" s="57" t="s">
        <v>580</v>
      </c>
      <c r="B20" s="57" t="s">
        <v>327</v>
      </c>
      <c r="C20" s="57">
        <v>2026</v>
      </c>
      <c r="D20" s="57">
        <v>132</v>
      </c>
      <c r="E20" s="57">
        <v>4</v>
      </c>
      <c r="F20" s="57">
        <v>128</v>
      </c>
      <c r="G20" s="57">
        <v>33</v>
      </c>
      <c r="H20" s="57">
        <v>36</v>
      </c>
      <c r="I20" s="57">
        <v>26</v>
      </c>
      <c r="J20" s="57">
        <v>20</v>
      </c>
      <c r="K20" s="57">
        <v>9</v>
      </c>
      <c r="L20" s="57">
        <v>4</v>
      </c>
      <c r="M20" s="57">
        <v>0</v>
      </c>
      <c r="N20" s="57">
        <v>128</v>
      </c>
      <c r="O20" s="58">
        <v>100</v>
      </c>
    </row>
    <row r="21" spans="1:15" ht="15" customHeight="1" x14ac:dyDescent="0.25">
      <c r="A21" s="57" t="s">
        <v>581</v>
      </c>
      <c r="B21" s="57" t="s">
        <v>328</v>
      </c>
      <c r="C21" s="57">
        <v>2026</v>
      </c>
      <c r="D21" s="57">
        <v>854</v>
      </c>
      <c r="E21" s="57">
        <v>35</v>
      </c>
      <c r="F21" s="57">
        <v>819</v>
      </c>
      <c r="G21" s="57">
        <v>13</v>
      </c>
      <c r="H21" s="57">
        <v>31</v>
      </c>
      <c r="I21" s="57">
        <v>58</v>
      </c>
      <c r="J21" s="57">
        <v>97</v>
      </c>
      <c r="K21" s="57">
        <v>130</v>
      </c>
      <c r="L21" s="57">
        <v>124</v>
      </c>
      <c r="M21" s="57">
        <v>366</v>
      </c>
      <c r="N21" s="57">
        <v>453</v>
      </c>
      <c r="O21" s="58">
        <v>55.31</v>
      </c>
    </row>
    <row r="22" spans="1:15" ht="15" customHeight="1" x14ac:dyDescent="0.25">
      <c r="A22" s="55" t="s">
        <v>582</v>
      </c>
      <c r="B22" s="55" t="s">
        <v>329</v>
      </c>
      <c r="C22" s="55">
        <v>2025</v>
      </c>
      <c r="D22" s="55">
        <v>14</v>
      </c>
      <c r="E22" s="55">
        <v>0</v>
      </c>
      <c r="F22" s="55">
        <v>14</v>
      </c>
      <c r="G22" s="55">
        <v>13</v>
      </c>
      <c r="H22" s="55">
        <v>0</v>
      </c>
      <c r="I22" s="55">
        <v>0</v>
      </c>
      <c r="J22" s="55">
        <v>0</v>
      </c>
      <c r="K22" s="55">
        <v>0</v>
      </c>
      <c r="L22" s="55">
        <v>1</v>
      </c>
      <c r="M22" s="55">
        <v>0</v>
      </c>
      <c r="N22" s="55">
        <v>14</v>
      </c>
      <c r="O22" s="56">
        <v>100</v>
      </c>
    </row>
    <row r="23" spans="1:15" ht="15" customHeight="1" x14ac:dyDescent="0.25">
      <c r="A23" s="57" t="s">
        <v>582</v>
      </c>
      <c r="B23" s="57" t="s">
        <v>329</v>
      </c>
      <c r="C23" s="57">
        <v>2026</v>
      </c>
      <c r="D23" s="57">
        <v>11</v>
      </c>
      <c r="E23" s="57">
        <v>1</v>
      </c>
      <c r="F23" s="57">
        <v>10</v>
      </c>
      <c r="G23" s="57">
        <v>0</v>
      </c>
      <c r="H23" s="57">
        <v>1</v>
      </c>
      <c r="I23" s="57">
        <v>0</v>
      </c>
      <c r="J23" s="57">
        <v>0</v>
      </c>
      <c r="K23" s="57">
        <v>1</v>
      </c>
      <c r="L23" s="57">
        <v>0</v>
      </c>
      <c r="M23" s="57">
        <v>8</v>
      </c>
      <c r="N23" s="57">
        <v>2</v>
      </c>
      <c r="O23" s="58">
        <v>20</v>
      </c>
    </row>
    <row r="24" spans="1:15" ht="15" customHeight="1" x14ac:dyDescent="0.25">
      <c r="A24" s="55" t="s">
        <v>583</v>
      </c>
      <c r="B24" s="55" t="s">
        <v>157</v>
      </c>
      <c r="C24" s="55">
        <v>2025</v>
      </c>
      <c r="D24" s="55">
        <v>90</v>
      </c>
      <c r="E24" s="55">
        <v>6</v>
      </c>
      <c r="F24" s="55">
        <v>84</v>
      </c>
      <c r="G24" s="55">
        <v>16</v>
      </c>
      <c r="H24" s="55">
        <v>21</v>
      </c>
      <c r="I24" s="55">
        <v>41</v>
      </c>
      <c r="J24" s="55">
        <v>6</v>
      </c>
      <c r="K24" s="55">
        <v>0</v>
      </c>
      <c r="L24" s="55">
        <v>0</v>
      </c>
      <c r="M24" s="55">
        <v>0</v>
      </c>
      <c r="N24" s="55">
        <v>84</v>
      </c>
      <c r="O24" s="56">
        <v>100</v>
      </c>
    </row>
    <row r="25" spans="1:15" ht="15" customHeight="1" x14ac:dyDescent="0.25">
      <c r="A25" s="57" t="s">
        <v>583</v>
      </c>
      <c r="B25" s="57" t="s">
        <v>157</v>
      </c>
      <c r="C25" s="57">
        <v>2026</v>
      </c>
      <c r="D25" s="57">
        <v>106</v>
      </c>
      <c r="E25" s="57">
        <v>4</v>
      </c>
      <c r="F25" s="57">
        <v>102</v>
      </c>
      <c r="G25" s="57">
        <v>81</v>
      </c>
      <c r="H25" s="57">
        <v>14</v>
      </c>
      <c r="I25" s="57">
        <v>7</v>
      </c>
      <c r="J25" s="57">
        <v>0</v>
      </c>
      <c r="K25" s="57">
        <v>0</v>
      </c>
      <c r="L25" s="57">
        <v>0</v>
      </c>
      <c r="M25" s="57">
        <v>0</v>
      </c>
      <c r="N25" s="57">
        <v>102</v>
      </c>
      <c r="O25" s="58">
        <v>100</v>
      </c>
    </row>
    <row r="26" spans="1:15" ht="15" customHeight="1" x14ac:dyDescent="0.25">
      <c r="A26" s="55" t="s">
        <v>584</v>
      </c>
      <c r="B26" s="55" t="s">
        <v>157</v>
      </c>
      <c r="C26" s="55">
        <v>2025</v>
      </c>
      <c r="D26" s="55">
        <v>57708</v>
      </c>
      <c r="E26" s="55">
        <v>1528</v>
      </c>
      <c r="F26" s="55">
        <v>56180</v>
      </c>
      <c r="G26" s="55">
        <v>11252</v>
      </c>
      <c r="H26" s="55">
        <v>5887</v>
      </c>
      <c r="I26" s="55">
        <v>6254</v>
      </c>
      <c r="J26" s="55">
        <v>6334</v>
      </c>
      <c r="K26" s="55">
        <v>6647</v>
      </c>
      <c r="L26" s="55">
        <v>6160</v>
      </c>
      <c r="M26" s="55">
        <v>13646</v>
      </c>
      <c r="N26" s="55">
        <v>42534</v>
      </c>
      <c r="O26" s="56">
        <v>75.709999999999994</v>
      </c>
    </row>
    <row r="27" spans="1:15" ht="15" customHeight="1" x14ac:dyDescent="0.25">
      <c r="A27" s="57" t="s">
        <v>584</v>
      </c>
      <c r="B27" s="57" t="s">
        <v>157</v>
      </c>
      <c r="C27" s="57">
        <v>2026</v>
      </c>
      <c r="D27" s="57">
        <v>46813</v>
      </c>
      <c r="E27" s="57">
        <v>1345</v>
      </c>
      <c r="F27" s="57">
        <v>45468</v>
      </c>
      <c r="G27" s="57">
        <v>4522</v>
      </c>
      <c r="H27" s="57">
        <v>3268</v>
      </c>
      <c r="I27" s="57">
        <v>4036</v>
      </c>
      <c r="J27" s="57">
        <v>4934</v>
      </c>
      <c r="K27" s="57">
        <v>5812</v>
      </c>
      <c r="L27" s="57">
        <v>6517</v>
      </c>
      <c r="M27" s="57">
        <v>16379</v>
      </c>
      <c r="N27" s="57">
        <v>29089</v>
      </c>
      <c r="O27" s="58">
        <v>63.98</v>
      </c>
    </row>
    <row r="28" spans="1:15" ht="15" customHeight="1" x14ac:dyDescent="0.25">
      <c r="A28" s="57" t="s">
        <v>585</v>
      </c>
      <c r="B28" s="57" t="s">
        <v>586</v>
      </c>
      <c r="C28" s="57">
        <v>2026</v>
      </c>
      <c r="D28" s="57">
        <v>3609</v>
      </c>
      <c r="E28" s="57">
        <v>125</v>
      </c>
      <c r="F28" s="57">
        <v>3484</v>
      </c>
      <c r="G28" s="57">
        <v>465</v>
      </c>
      <c r="H28" s="57">
        <v>378</v>
      </c>
      <c r="I28" s="57">
        <v>512</v>
      </c>
      <c r="J28" s="57">
        <v>561</v>
      </c>
      <c r="K28" s="57">
        <v>581</v>
      </c>
      <c r="L28" s="57">
        <v>456</v>
      </c>
      <c r="M28" s="57">
        <v>531</v>
      </c>
      <c r="N28" s="57">
        <v>2953</v>
      </c>
      <c r="O28" s="58">
        <v>84.76</v>
      </c>
    </row>
    <row r="29" spans="1:15" ht="15" customHeight="1" x14ac:dyDescent="0.25">
      <c r="A29" s="55" t="s">
        <v>587</v>
      </c>
      <c r="B29" s="55" t="s">
        <v>333</v>
      </c>
      <c r="C29" s="55">
        <v>2025</v>
      </c>
      <c r="D29" s="55">
        <v>91</v>
      </c>
      <c r="E29" s="55">
        <v>6</v>
      </c>
      <c r="F29" s="55">
        <v>85</v>
      </c>
      <c r="G29" s="55">
        <v>64</v>
      </c>
      <c r="H29" s="55">
        <v>13</v>
      </c>
      <c r="I29" s="55">
        <v>3</v>
      </c>
      <c r="J29" s="55">
        <v>3</v>
      </c>
      <c r="K29" s="55">
        <v>2</v>
      </c>
      <c r="L29" s="55">
        <v>0</v>
      </c>
      <c r="M29" s="55">
        <v>0</v>
      </c>
      <c r="N29" s="55">
        <v>85</v>
      </c>
      <c r="O29" s="56">
        <v>100</v>
      </c>
    </row>
    <row r="30" spans="1:15" ht="15" customHeight="1" x14ac:dyDescent="0.25">
      <c r="A30" s="57" t="s">
        <v>587</v>
      </c>
      <c r="B30" s="57" t="s">
        <v>333</v>
      </c>
      <c r="C30" s="57">
        <v>2026</v>
      </c>
      <c r="D30" s="57">
        <v>106</v>
      </c>
      <c r="E30" s="57">
        <v>4</v>
      </c>
      <c r="F30" s="57">
        <v>102</v>
      </c>
      <c r="G30" s="57">
        <v>59</v>
      </c>
      <c r="H30" s="57">
        <v>29</v>
      </c>
      <c r="I30" s="57">
        <v>14</v>
      </c>
      <c r="J30" s="57">
        <v>0</v>
      </c>
      <c r="K30" s="57">
        <v>0</v>
      </c>
      <c r="L30" s="57">
        <v>0</v>
      </c>
      <c r="M30" s="57">
        <v>0</v>
      </c>
      <c r="N30" s="57">
        <v>102</v>
      </c>
      <c r="O30" s="58">
        <v>100</v>
      </c>
    </row>
    <row r="31" spans="1:15" ht="15" customHeight="1" x14ac:dyDescent="0.25">
      <c r="A31" s="55" t="s">
        <v>588</v>
      </c>
      <c r="B31" s="55" t="s">
        <v>334</v>
      </c>
      <c r="C31" s="55">
        <v>2025</v>
      </c>
      <c r="D31" s="55">
        <v>1358</v>
      </c>
      <c r="E31" s="55">
        <v>50</v>
      </c>
      <c r="F31" s="55">
        <v>1308</v>
      </c>
      <c r="G31" s="55">
        <v>518</v>
      </c>
      <c r="H31" s="55">
        <v>308</v>
      </c>
      <c r="I31" s="55">
        <v>221</v>
      </c>
      <c r="J31" s="55">
        <v>118</v>
      </c>
      <c r="K31" s="55">
        <v>61</v>
      </c>
      <c r="L31" s="55">
        <v>32</v>
      </c>
      <c r="M31" s="55">
        <v>50</v>
      </c>
      <c r="N31" s="55">
        <v>1258</v>
      </c>
      <c r="O31" s="56">
        <v>96.18</v>
      </c>
    </row>
    <row r="32" spans="1:15" ht="15" customHeight="1" x14ac:dyDescent="0.25">
      <c r="A32" s="57" t="s">
        <v>588</v>
      </c>
      <c r="B32" s="57" t="s">
        <v>334</v>
      </c>
      <c r="C32" s="57">
        <v>2026</v>
      </c>
      <c r="D32" s="57">
        <v>1608</v>
      </c>
      <c r="E32" s="57">
        <v>64</v>
      </c>
      <c r="F32" s="57">
        <v>1544</v>
      </c>
      <c r="G32" s="57">
        <v>513</v>
      </c>
      <c r="H32" s="57">
        <v>346</v>
      </c>
      <c r="I32" s="57">
        <v>279</v>
      </c>
      <c r="J32" s="57">
        <v>190</v>
      </c>
      <c r="K32" s="57">
        <v>100</v>
      </c>
      <c r="L32" s="57">
        <v>65</v>
      </c>
      <c r="M32" s="57">
        <v>51</v>
      </c>
      <c r="N32" s="57">
        <v>1493</v>
      </c>
      <c r="O32" s="58">
        <v>96.7</v>
      </c>
    </row>
    <row r="33" spans="1:15" ht="15" customHeight="1" x14ac:dyDescent="0.25">
      <c r="A33" s="55" t="s">
        <v>589</v>
      </c>
      <c r="B33" s="55" t="s">
        <v>161</v>
      </c>
      <c r="C33" s="55">
        <v>2025</v>
      </c>
      <c r="D33" s="55">
        <v>128</v>
      </c>
      <c r="E33" s="55">
        <v>6</v>
      </c>
      <c r="F33" s="55">
        <v>122</v>
      </c>
      <c r="G33" s="55">
        <v>49</v>
      </c>
      <c r="H33" s="55">
        <v>13</v>
      </c>
      <c r="I33" s="55">
        <v>12</v>
      </c>
      <c r="J33" s="55">
        <v>6</v>
      </c>
      <c r="K33" s="55">
        <v>18</v>
      </c>
      <c r="L33" s="55">
        <v>6</v>
      </c>
      <c r="M33" s="55">
        <v>18</v>
      </c>
      <c r="N33" s="55">
        <v>104</v>
      </c>
      <c r="O33" s="56">
        <v>85.25</v>
      </c>
    </row>
    <row r="34" spans="1:15" ht="15" customHeight="1" x14ac:dyDescent="0.25">
      <c r="A34" s="57" t="s">
        <v>589</v>
      </c>
      <c r="B34" s="57" t="s">
        <v>161</v>
      </c>
      <c r="C34" s="57">
        <v>2026</v>
      </c>
      <c r="D34" s="57">
        <v>143</v>
      </c>
      <c r="E34" s="57">
        <v>9</v>
      </c>
      <c r="F34" s="57">
        <v>134</v>
      </c>
      <c r="G34" s="57">
        <v>33</v>
      </c>
      <c r="H34" s="57">
        <v>16</v>
      </c>
      <c r="I34" s="57">
        <v>16</v>
      </c>
      <c r="J34" s="57">
        <v>17</v>
      </c>
      <c r="K34" s="57">
        <v>14</v>
      </c>
      <c r="L34" s="57">
        <v>9</v>
      </c>
      <c r="M34" s="57">
        <v>29</v>
      </c>
      <c r="N34" s="57">
        <v>105</v>
      </c>
      <c r="O34" s="58">
        <v>78.36</v>
      </c>
    </row>
    <row r="35" spans="1:15" ht="15" customHeight="1" x14ac:dyDescent="0.25">
      <c r="A35" s="55" t="s">
        <v>590</v>
      </c>
      <c r="B35" s="55" t="s">
        <v>335</v>
      </c>
      <c r="C35" s="55">
        <v>2025</v>
      </c>
      <c r="D35" s="55">
        <v>1507</v>
      </c>
      <c r="E35" s="55">
        <v>60</v>
      </c>
      <c r="F35" s="55">
        <v>1447</v>
      </c>
      <c r="G35" s="55">
        <v>140</v>
      </c>
      <c r="H35" s="55">
        <v>287</v>
      </c>
      <c r="I35" s="55">
        <v>351</v>
      </c>
      <c r="J35" s="55">
        <v>249</v>
      </c>
      <c r="K35" s="55">
        <v>184</v>
      </c>
      <c r="L35" s="55">
        <v>129</v>
      </c>
      <c r="M35" s="55">
        <v>107</v>
      </c>
      <c r="N35" s="55">
        <v>1340</v>
      </c>
      <c r="O35" s="56">
        <v>92.61</v>
      </c>
    </row>
    <row r="36" spans="1:15" ht="15" customHeight="1" x14ac:dyDescent="0.25">
      <c r="A36" s="57" t="s">
        <v>590</v>
      </c>
      <c r="B36" s="57" t="s">
        <v>335</v>
      </c>
      <c r="C36" s="57">
        <v>2026</v>
      </c>
      <c r="D36" s="57">
        <v>1789</v>
      </c>
      <c r="E36" s="57">
        <v>97</v>
      </c>
      <c r="F36" s="57">
        <v>1692</v>
      </c>
      <c r="G36" s="57">
        <v>79</v>
      </c>
      <c r="H36" s="57">
        <v>258</v>
      </c>
      <c r="I36" s="57">
        <v>415</v>
      </c>
      <c r="J36" s="57">
        <v>360</v>
      </c>
      <c r="K36" s="57">
        <v>276</v>
      </c>
      <c r="L36" s="57">
        <v>170</v>
      </c>
      <c r="M36" s="57">
        <v>134</v>
      </c>
      <c r="N36" s="57">
        <v>1558</v>
      </c>
      <c r="O36" s="58">
        <v>92.08</v>
      </c>
    </row>
    <row r="37" spans="1:15" ht="15" customHeight="1" x14ac:dyDescent="0.25">
      <c r="A37" s="55" t="s">
        <v>591</v>
      </c>
      <c r="B37" s="55" t="s">
        <v>473</v>
      </c>
      <c r="C37" s="55">
        <v>2025</v>
      </c>
      <c r="D37" s="55">
        <v>376</v>
      </c>
      <c r="E37" s="55">
        <v>12</v>
      </c>
      <c r="F37" s="55">
        <v>364</v>
      </c>
      <c r="G37" s="55">
        <v>41</v>
      </c>
      <c r="H37" s="55">
        <v>37</v>
      </c>
      <c r="I37" s="55">
        <v>38</v>
      </c>
      <c r="J37" s="55">
        <v>44</v>
      </c>
      <c r="K37" s="55">
        <v>52</v>
      </c>
      <c r="L37" s="55">
        <v>37</v>
      </c>
      <c r="M37" s="55">
        <v>115</v>
      </c>
      <c r="N37" s="55">
        <v>249</v>
      </c>
      <c r="O37" s="56">
        <v>68.41</v>
      </c>
    </row>
    <row r="38" spans="1:15" ht="15" customHeight="1" x14ac:dyDescent="0.25">
      <c r="A38" s="57" t="s">
        <v>591</v>
      </c>
      <c r="B38" s="57" t="s">
        <v>473</v>
      </c>
      <c r="C38" s="57">
        <v>2026</v>
      </c>
      <c r="D38" s="57">
        <v>403</v>
      </c>
      <c r="E38" s="57">
        <v>23</v>
      </c>
      <c r="F38" s="57">
        <v>380</v>
      </c>
      <c r="G38" s="57">
        <v>11</v>
      </c>
      <c r="H38" s="57">
        <v>32</v>
      </c>
      <c r="I38" s="57">
        <v>59</v>
      </c>
      <c r="J38" s="57">
        <v>81</v>
      </c>
      <c r="K38" s="57">
        <v>83</v>
      </c>
      <c r="L38" s="57">
        <v>78</v>
      </c>
      <c r="M38" s="57">
        <v>36</v>
      </c>
      <c r="N38" s="57">
        <v>344</v>
      </c>
      <c r="O38" s="58">
        <v>90.53</v>
      </c>
    </row>
    <row r="39" spans="1:15" ht="15" customHeight="1" x14ac:dyDescent="0.25">
      <c r="A39" s="55" t="s">
        <v>592</v>
      </c>
      <c r="B39" s="55" t="s">
        <v>337</v>
      </c>
      <c r="C39" s="55">
        <v>2025</v>
      </c>
      <c r="D39" s="55">
        <v>4570</v>
      </c>
      <c r="E39" s="55">
        <v>135</v>
      </c>
      <c r="F39" s="55">
        <v>4435</v>
      </c>
      <c r="G39" s="55">
        <v>442</v>
      </c>
      <c r="H39" s="55">
        <v>288</v>
      </c>
      <c r="I39" s="55">
        <v>424</v>
      </c>
      <c r="J39" s="55">
        <v>589</v>
      </c>
      <c r="K39" s="55">
        <v>1010</v>
      </c>
      <c r="L39" s="55">
        <v>933</v>
      </c>
      <c r="M39" s="55">
        <v>749</v>
      </c>
      <c r="N39" s="55">
        <v>3686</v>
      </c>
      <c r="O39" s="56">
        <v>83.11</v>
      </c>
    </row>
    <row r="40" spans="1:15" ht="15" customHeight="1" x14ac:dyDescent="0.25">
      <c r="A40" s="57" t="s">
        <v>592</v>
      </c>
      <c r="B40" s="57" t="s">
        <v>337</v>
      </c>
      <c r="C40" s="57">
        <v>2026</v>
      </c>
      <c r="D40" s="57">
        <v>4926</v>
      </c>
      <c r="E40" s="57">
        <v>163</v>
      </c>
      <c r="F40" s="57">
        <v>4763</v>
      </c>
      <c r="G40" s="57">
        <v>168</v>
      </c>
      <c r="H40" s="57">
        <v>353</v>
      </c>
      <c r="I40" s="57">
        <v>648</v>
      </c>
      <c r="J40" s="57">
        <v>822</v>
      </c>
      <c r="K40" s="57">
        <v>1047</v>
      </c>
      <c r="L40" s="57">
        <v>794</v>
      </c>
      <c r="M40" s="57">
        <v>931</v>
      </c>
      <c r="N40" s="57">
        <v>3832</v>
      </c>
      <c r="O40" s="58">
        <v>80.45</v>
      </c>
    </row>
    <row r="41" spans="1:15" ht="15" customHeight="1" x14ac:dyDescent="0.25">
      <c r="A41" s="55" t="s">
        <v>593</v>
      </c>
      <c r="B41" s="55" t="s">
        <v>338</v>
      </c>
      <c r="C41" s="55">
        <v>2025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1</v>
      </c>
      <c r="O41" s="56">
        <v>100</v>
      </c>
    </row>
    <row r="42" spans="1:15" ht="15" customHeight="1" x14ac:dyDescent="0.25">
      <c r="A42" s="55" t="s">
        <v>594</v>
      </c>
      <c r="B42" s="55" t="s">
        <v>163</v>
      </c>
      <c r="C42" s="55">
        <v>2025</v>
      </c>
      <c r="D42" s="55">
        <v>114956</v>
      </c>
      <c r="E42" s="55">
        <v>2626</v>
      </c>
      <c r="F42" s="55">
        <v>112330</v>
      </c>
      <c r="G42" s="55">
        <v>11356</v>
      </c>
      <c r="H42" s="55">
        <v>9498</v>
      </c>
      <c r="I42" s="55">
        <v>13747</v>
      </c>
      <c r="J42" s="55">
        <v>14464</v>
      </c>
      <c r="K42" s="55">
        <v>18374</v>
      </c>
      <c r="L42" s="55">
        <v>19131</v>
      </c>
      <c r="M42" s="55">
        <v>25760</v>
      </c>
      <c r="N42" s="55">
        <v>86570</v>
      </c>
      <c r="O42" s="56">
        <v>77.069999999999993</v>
      </c>
    </row>
    <row r="43" spans="1:15" ht="15" customHeight="1" x14ac:dyDescent="0.25">
      <c r="A43" s="57" t="s">
        <v>594</v>
      </c>
      <c r="B43" s="57" t="s">
        <v>163</v>
      </c>
      <c r="C43" s="57">
        <v>2026</v>
      </c>
      <c r="D43" s="57">
        <v>110612</v>
      </c>
      <c r="E43" s="57">
        <v>3005</v>
      </c>
      <c r="F43" s="57">
        <v>107607</v>
      </c>
      <c r="G43" s="57">
        <v>10927</v>
      </c>
      <c r="H43" s="57">
        <v>9417</v>
      </c>
      <c r="I43" s="57">
        <v>14415</v>
      </c>
      <c r="J43" s="57">
        <v>15767</v>
      </c>
      <c r="K43" s="57">
        <v>20034</v>
      </c>
      <c r="L43" s="57">
        <v>16555</v>
      </c>
      <c r="M43" s="57">
        <v>20492</v>
      </c>
      <c r="N43" s="57">
        <v>87115</v>
      </c>
      <c r="O43" s="58">
        <v>80.959999999999994</v>
      </c>
    </row>
    <row r="44" spans="1:15" ht="15" customHeight="1" x14ac:dyDescent="0.25">
      <c r="A44" s="55" t="s">
        <v>595</v>
      </c>
      <c r="B44" s="55" t="s">
        <v>163</v>
      </c>
      <c r="C44" s="55">
        <v>2025</v>
      </c>
      <c r="D44" s="55">
        <v>90</v>
      </c>
      <c r="E44" s="55">
        <v>6</v>
      </c>
      <c r="F44" s="55">
        <v>84</v>
      </c>
      <c r="G44" s="55">
        <v>6</v>
      </c>
      <c r="H44" s="55">
        <v>6</v>
      </c>
      <c r="I44" s="55">
        <v>15</v>
      </c>
      <c r="J44" s="55">
        <v>18</v>
      </c>
      <c r="K44" s="55">
        <v>25</v>
      </c>
      <c r="L44" s="55">
        <v>14</v>
      </c>
      <c r="M44" s="55">
        <v>0</v>
      </c>
      <c r="N44" s="55">
        <v>84</v>
      </c>
      <c r="O44" s="56">
        <v>100</v>
      </c>
    </row>
    <row r="45" spans="1:15" ht="15" customHeight="1" x14ac:dyDescent="0.25">
      <c r="A45" s="57" t="s">
        <v>595</v>
      </c>
      <c r="B45" s="57" t="s">
        <v>163</v>
      </c>
      <c r="C45" s="57">
        <v>2026</v>
      </c>
      <c r="D45" s="57">
        <v>106</v>
      </c>
      <c r="E45" s="57">
        <v>6</v>
      </c>
      <c r="F45" s="57">
        <v>100</v>
      </c>
      <c r="G45" s="57">
        <v>20</v>
      </c>
      <c r="H45" s="57">
        <v>25</v>
      </c>
      <c r="I45" s="57">
        <v>15</v>
      </c>
      <c r="J45" s="57">
        <v>16</v>
      </c>
      <c r="K45" s="57">
        <v>22</v>
      </c>
      <c r="L45" s="57">
        <v>2</v>
      </c>
      <c r="M45" s="57">
        <v>0</v>
      </c>
      <c r="N45" s="57">
        <v>100</v>
      </c>
      <c r="O45" s="58">
        <v>100</v>
      </c>
    </row>
    <row r="46" spans="1:15" ht="15" customHeight="1" x14ac:dyDescent="0.25">
      <c r="A46" s="55" t="s">
        <v>596</v>
      </c>
      <c r="B46" s="55" t="s">
        <v>475</v>
      </c>
      <c r="C46" s="55">
        <v>2025</v>
      </c>
      <c r="D46" s="55">
        <v>1</v>
      </c>
      <c r="E46" s="55">
        <v>0</v>
      </c>
      <c r="F46" s="55">
        <v>1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1</v>
      </c>
      <c r="M46" s="55">
        <v>0</v>
      </c>
      <c r="N46" s="55">
        <v>1</v>
      </c>
      <c r="O46" s="56">
        <v>100</v>
      </c>
    </row>
    <row r="47" spans="1:15" ht="15" customHeight="1" x14ac:dyDescent="0.25">
      <c r="A47" s="57" t="s">
        <v>596</v>
      </c>
      <c r="B47" s="57" t="s">
        <v>475</v>
      </c>
      <c r="C47" s="57">
        <v>2026</v>
      </c>
      <c r="D47" s="57">
        <v>2</v>
      </c>
      <c r="E47" s="57">
        <v>1</v>
      </c>
      <c r="F47" s="57">
        <v>1</v>
      </c>
      <c r="G47" s="57">
        <v>0</v>
      </c>
      <c r="H47" s="57">
        <v>0</v>
      </c>
      <c r="I47" s="57">
        <v>1</v>
      </c>
      <c r="J47" s="57">
        <v>0</v>
      </c>
      <c r="K47" s="57">
        <v>0</v>
      </c>
      <c r="L47" s="57">
        <v>0</v>
      </c>
      <c r="M47" s="57">
        <v>0</v>
      </c>
      <c r="N47" s="57">
        <v>1</v>
      </c>
      <c r="O47" s="58">
        <v>100</v>
      </c>
    </row>
    <row r="48" spans="1:15" ht="15" customHeight="1" x14ac:dyDescent="0.25">
      <c r="A48" s="55" t="s">
        <v>597</v>
      </c>
      <c r="B48" s="55" t="s">
        <v>419</v>
      </c>
      <c r="C48" s="55">
        <v>2025</v>
      </c>
      <c r="D48" s="55">
        <v>1227</v>
      </c>
      <c r="E48" s="55">
        <v>48</v>
      </c>
      <c r="F48" s="55">
        <v>1179</v>
      </c>
      <c r="G48" s="55">
        <v>606</v>
      </c>
      <c r="H48" s="55">
        <v>150</v>
      </c>
      <c r="I48" s="55">
        <v>121</v>
      </c>
      <c r="J48" s="55">
        <v>82</v>
      </c>
      <c r="K48" s="55">
        <v>59</v>
      </c>
      <c r="L48" s="55">
        <v>29</v>
      </c>
      <c r="M48" s="55">
        <v>132</v>
      </c>
      <c r="N48" s="55">
        <v>1047</v>
      </c>
      <c r="O48" s="56">
        <v>88.8</v>
      </c>
    </row>
    <row r="49" spans="1:15" ht="15" customHeight="1" x14ac:dyDescent="0.25">
      <c r="A49" s="57" t="s">
        <v>597</v>
      </c>
      <c r="B49" s="57" t="s">
        <v>419</v>
      </c>
      <c r="C49" s="57">
        <v>2026</v>
      </c>
      <c r="D49" s="57">
        <v>1107</v>
      </c>
      <c r="E49" s="57">
        <v>39</v>
      </c>
      <c r="F49" s="57">
        <v>1068</v>
      </c>
      <c r="G49" s="57">
        <v>665</v>
      </c>
      <c r="H49" s="57">
        <v>108</v>
      </c>
      <c r="I49" s="57">
        <v>84</v>
      </c>
      <c r="J49" s="57">
        <v>53</v>
      </c>
      <c r="K49" s="57">
        <v>43</v>
      </c>
      <c r="L49" s="57">
        <v>34</v>
      </c>
      <c r="M49" s="57">
        <v>81</v>
      </c>
      <c r="N49" s="57">
        <v>987</v>
      </c>
      <c r="O49" s="58">
        <v>92.42</v>
      </c>
    </row>
    <row r="50" spans="1:15" ht="15" customHeight="1" x14ac:dyDescent="0.25">
      <c r="A50" s="57" t="s">
        <v>598</v>
      </c>
      <c r="B50" s="57" t="s">
        <v>316</v>
      </c>
      <c r="C50" s="57">
        <v>2026</v>
      </c>
      <c r="D50" s="57">
        <v>854</v>
      </c>
      <c r="E50" s="57">
        <v>36</v>
      </c>
      <c r="F50" s="57">
        <v>818</v>
      </c>
      <c r="G50" s="57">
        <v>16</v>
      </c>
      <c r="H50" s="57">
        <v>42</v>
      </c>
      <c r="I50" s="57">
        <v>75</v>
      </c>
      <c r="J50" s="57">
        <v>120</v>
      </c>
      <c r="K50" s="57">
        <v>144</v>
      </c>
      <c r="L50" s="57">
        <v>170</v>
      </c>
      <c r="M50" s="57">
        <v>251</v>
      </c>
      <c r="N50" s="57">
        <v>567</v>
      </c>
      <c r="O50" s="58">
        <v>69.319999999999993</v>
      </c>
    </row>
    <row r="51" spans="1:15" ht="15" customHeight="1" x14ac:dyDescent="0.25">
      <c r="A51" s="55" t="s">
        <v>599</v>
      </c>
      <c r="B51" s="55" t="s">
        <v>478</v>
      </c>
      <c r="C51" s="55">
        <v>2025</v>
      </c>
      <c r="D51" s="55">
        <v>1007</v>
      </c>
      <c r="E51" s="55">
        <v>25</v>
      </c>
      <c r="F51" s="55">
        <v>982</v>
      </c>
      <c r="G51" s="55">
        <v>299</v>
      </c>
      <c r="H51" s="55">
        <v>264</v>
      </c>
      <c r="I51" s="55">
        <v>175</v>
      </c>
      <c r="J51" s="55">
        <v>105</v>
      </c>
      <c r="K51" s="55">
        <v>80</v>
      </c>
      <c r="L51" s="55">
        <v>39</v>
      </c>
      <c r="M51" s="55">
        <v>20</v>
      </c>
      <c r="N51" s="55">
        <v>962</v>
      </c>
      <c r="O51" s="56">
        <v>97.96</v>
      </c>
    </row>
    <row r="52" spans="1:15" ht="15" customHeight="1" x14ac:dyDescent="0.25">
      <c r="A52" s="57" t="s">
        <v>599</v>
      </c>
      <c r="B52" s="57" t="s">
        <v>478</v>
      </c>
      <c r="C52" s="57">
        <v>2026</v>
      </c>
      <c r="D52" s="57">
        <v>1221</v>
      </c>
      <c r="E52" s="57">
        <v>43</v>
      </c>
      <c r="F52" s="57">
        <v>1178</v>
      </c>
      <c r="G52" s="57">
        <v>27</v>
      </c>
      <c r="H52" s="57">
        <v>59</v>
      </c>
      <c r="I52" s="57">
        <v>112</v>
      </c>
      <c r="J52" s="57">
        <v>251</v>
      </c>
      <c r="K52" s="57">
        <v>317</v>
      </c>
      <c r="L52" s="57">
        <v>244</v>
      </c>
      <c r="M52" s="57">
        <v>168</v>
      </c>
      <c r="N52" s="57">
        <v>1010</v>
      </c>
      <c r="O52" s="58">
        <v>85.74</v>
      </c>
    </row>
    <row r="53" spans="1:15" ht="15" customHeight="1" x14ac:dyDescent="0.25">
      <c r="A53" s="55" t="s">
        <v>600</v>
      </c>
      <c r="B53" s="55" t="s">
        <v>343</v>
      </c>
      <c r="C53" s="55">
        <v>2025</v>
      </c>
      <c r="D53" s="55">
        <v>20176</v>
      </c>
      <c r="E53" s="55">
        <v>667</v>
      </c>
      <c r="F53" s="55">
        <v>19509</v>
      </c>
      <c r="G53" s="55">
        <v>1130</v>
      </c>
      <c r="H53" s="55">
        <v>1483</v>
      </c>
      <c r="I53" s="55">
        <v>2448</v>
      </c>
      <c r="J53" s="55">
        <v>2748</v>
      </c>
      <c r="K53" s="55">
        <v>3295</v>
      </c>
      <c r="L53" s="55">
        <v>2862</v>
      </c>
      <c r="M53" s="55">
        <v>5543</v>
      </c>
      <c r="N53" s="55">
        <v>13966</v>
      </c>
      <c r="O53" s="56">
        <v>71.59</v>
      </c>
    </row>
    <row r="54" spans="1:15" ht="15" customHeight="1" x14ac:dyDescent="0.25">
      <c r="A54" s="55" t="s">
        <v>601</v>
      </c>
      <c r="B54" s="55" t="s">
        <v>169</v>
      </c>
      <c r="C54" s="55">
        <v>2025</v>
      </c>
      <c r="D54" s="55">
        <v>20175</v>
      </c>
      <c r="E54" s="55">
        <v>647</v>
      </c>
      <c r="F54" s="55">
        <v>19528</v>
      </c>
      <c r="G54" s="55">
        <v>1933</v>
      </c>
      <c r="H54" s="55">
        <v>1466</v>
      </c>
      <c r="I54" s="55">
        <v>2105</v>
      </c>
      <c r="J54" s="55">
        <v>2201</v>
      </c>
      <c r="K54" s="55">
        <v>2904</v>
      </c>
      <c r="L54" s="55">
        <v>2760</v>
      </c>
      <c r="M54" s="55">
        <v>6159</v>
      </c>
      <c r="N54" s="55">
        <v>13369</v>
      </c>
      <c r="O54" s="56">
        <v>68.459999999999994</v>
      </c>
    </row>
    <row r="55" spans="1:15" ht="15" customHeight="1" x14ac:dyDescent="0.25">
      <c r="A55" s="57" t="s">
        <v>601</v>
      </c>
      <c r="B55" s="57" t="s">
        <v>169</v>
      </c>
      <c r="C55" s="57">
        <v>2026</v>
      </c>
      <c r="D55" s="57">
        <v>22338</v>
      </c>
      <c r="E55" s="57">
        <v>895</v>
      </c>
      <c r="F55" s="57">
        <v>21443</v>
      </c>
      <c r="G55" s="57">
        <v>1588</v>
      </c>
      <c r="H55" s="57">
        <v>1400</v>
      </c>
      <c r="I55" s="57">
        <v>2182</v>
      </c>
      <c r="J55" s="57">
        <v>2324</v>
      </c>
      <c r="K55" s="57">
        <v>3101</v>
      </c>
      <c r="L55" s="57">
        <v>3375</v>
      </c>
      <c r="M55" s="57">
        <v>7473</v>
      </c>
      <c r="N55" s="57">
        <v>13970</v>
      </c>
      <c r="O55" s="58">
        <v>65.150000000000006</v>
      </c>
    </row>
    <row r="56" spans="1:15" ht="15" customHeight="1" x14ac:dyDescent="0.25">
      <c r="A56" s="57" t="s">
        <v>602</v>
      </c>
      <c r="B56" s="57" t="s">
        <v>344</v>
      </c>
      <c r="C56" s="57">
        <v>2026</v>
      </c>
      <c r="D56" s="57">
        <v>854</v>
      </c>
      <c r="E56" s="57">
        <v>34</v>
      </c>
      <c r="F56" s="57">
        <v>820</v>
      </c>
      <c r="G56" s="57">
        <v>36</v>
      </c>
      <c r="H56" s="57">
        <v>73</v>
      </c>
      <c r="I56" s="57">
        <v>96</v>
      </c>
      <c r="J56" s="57">
        <v>137</v>
      </c>
      <c r="K56" s="57">
        <v>170</v>
      </c>
      <c r="L56" s="57">
        <v>167</v>
      </c>
      <c r="M56" s="57">
        <v>141</v>
      </c>
      <c r="N56" s="57">
        <v>679</v>
      </c>
      <c r="O56" s="58">
        <v>82.8</v>
      </c>
    </row>
    <row r="57" spans="1:15" ht="15" customHeight="1" x14ac:dyDescent="0.25">
      <c r="A57" s="57" t="s">
        <v>603</v>
      </c>
      <c r="B57" s="57" t="s">
        <v>345</v>
      </c>
      <c r="C57" s="57">
        <v>2026</v>
      </c>
      <c r="D57" s="57">
        <v>1</v>
      </c>
      <c r="E57" s="57">
        <v>1</v>
      </c>
      <c r="F57" s="57">
        <v>0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57">
        <v>0</v>
      </c>
      <c r="M57" s="57">
        <v>0</v>
      </c>
      <c r="N57" s="57">
        <v>0</v>
      </c>
      <c r="O57" s="57"/>
    </row>
    <row r="58" spans="1:15" ht="15" customHeight="1" x14ac:dyDescent="0.25">
      <c r="A58" s="57" t="s">
        <v>604</v>
      </c>
      <c r="B58" s="57" t="s">
        <v>317</v>
      </c>
      <c r="C58" s="57">
        <v>2026</v>
      </c>
      <c r="D58" s="57">
        <v>684</v>
      </c>
      <c r="E58" s="57">
        <v>22</v>
      </c>
      <c r="F58" s="57">
        <v>662</v>
      </c>
      <c r="G58" s="57">
        <v>99</v>
      </c>
      <c r="H58" s="57">
        <v>53</v>
      </c>
      <c r="I58" s="57">
        <v>59</v>
      </c>
      <c r="J58" s="57">
        <v>63</v>
      </c>
      <c r="K58" s="57">
        <v>64</v>
      </c>
      <c r="L58" s="57">
        <v>65</v>
      </c>
      <c r="M58" s="57">
        <v>259</v>
      </c>
      <c r="N58" s="57">
        <v>403</v>
      </c>
      <c r="O58" s="58">
        <v>60.88</v>
      </c>
    </row>
    <row r="59" spans="1:15" ht="15" customHeight="1" x14ac:dyDescent="0.25">
      <c r="A59" s="55" t="s">
        <v>605</v>
      </c>
      <c r="B59" s="55" t="s">
        <v>482</v>
      </c>
      <c r="C59" s="55">
        <v>2025</v>
      </c>
      <c r="D59" s="55">
        <v>9137</v>
      </c>
      <c r="E59" s="55">
        <v>307</v>
      </c>
      <c r="F59" s="55">
        <v>8830</v>
      </c>
      <c r="G59" s="55">
        <v>1309</v>
      </c>
      <c r="H59" s="55">
        <v>1667</v>
      </c>
      <c r="I59" s="55">
        <v>1737</v>
      </c>
      <c r="J59" s="55">
        <v>1464</v>
      </c>
      <c r="K59" s="55">
        <v>1134</v>
      </c>
      <c r="L59" s="55">
        <v>694</v>
      </c>
      <c r="M59" s="55">
        <v>825</v>
      </c>
      <c r="N59" s="55">
        <v>8005</v>
      </c>
      <c r="O59" s="56">
        <v>90.66</v>
      </c>
    </row>
    <row r="60" spans="1:15" ht="15" customHeight="1" x14ac:dyDescent="0.25">
      <c r="A60" s="57" t="s">
        <v>605</v>
      </c>
      <c r="B60" s="57" t="s">
        <v>482</v>
      </c>
      <c r="C60" s="57">
        <v>2026</v>
      </c>
      <c r="D60" s="57">
        <v>11229</v>
      </c>
      <c r="E60" s="57">
        <v>501</v>
      </c>
      <c r="F60" s="57">
        <v>10728</v>
      </c>
      <c r="G60" s="57">
        <v>870</v>
      </c>
      <c r="H60" s="57">
        <v>1480</v>
      </c>
      <c r="I60" s="57">
        <v>1992</v>
      </c>
      <c r="J60" s="57">
        <v>2115</v>
      </c>
      <c r="K60" s="57">
        <v>1791</v>
      </c>
      <c r="L60" s="57">
        <v>1314</v>
      </c>
      <c r="M60" s="57">
        <v>1166</v>
      </c>
      <c r="N60" s="57">
        <v>9562</v>
      </c>
      <c r="O60" s="58">
        <v>89.13</v>
      </c>
    </row>
    <row r="61" spans="1:15" ht="15" customHeight="1" x14ac:dyDescent="0.25">
      <c r="A61" s="55" t="s">
        <v>606</v>
      </c>
      <c r="B61" s="55" t="s">
        <v>348</v>
      </c>
      <c r="C61" s="55">
        <v>2025</v>
      </c>
      <c r="D61" s="55">
        <v>3</v>
      </c>
      <c r="E61" s="55">
        <v>0</v>
      </c>
      <c r="F61" s="55">
        <v>3</v>
      </c>
      <c r="G61" s="55">
        <v>0</v>
      </c>
      <c r="H61" s="55">
        <v>0</v>
      </c>
      <c r="I61" s="55">
        <v>0</v>
      </c>
      <c r="J61" s="55">
        <v>0</v>
      </c>
      <c r="K61" s="55">
        <v>0</v>
      </c>
      <c r="L61" s="55">
        <v>0</v>
      </c>
      <c r="M61" s="55">
        <v>3</v>
      </c>
      <c r="N61" s="55">
        <v>0</v>
      </c>
      <c r="O61" s="56">
        <v>0</v>
      </c>
    </row>
    <row r="62" spans="1:15" ht="15" customHeight="1" x14ac:dyDescent="0.25">
      <c r="A62" s="57" t="s">
        <v>606</v>
      </c>
      <c r="B62" s="57" t="s">
        <v>348</v>
      </c>
      <c r="C62" s="57">
        <v>2026</v>
      </c>
      <c r="D62" s="57">
        <v>25</v>
      </c>
      <c r="E62" s="57">
        <v>1</v>
      </c>
      <c r="F62" s="57">
        <v>24</v>
      </c>
      <c r="G62" s="57">
        <v>0</v>
      </c>
      <c r="H62" s="57">
        <v>1</v>
      </c>
      <c r="I62" s="57">
        <v>3</v>
      </c>
      <c r="J62" s="57">
        <v>3</v>
      </c>
      <c r="K62" s="57">
        <v>7</v>
      </c>
      <c r="L62" s="57">
        <v>7</v>
      </c>
      <c r="M62" s="57">
        <v>3</v>
      </c>
      <c r="N62" s="57">
        <v>21</v>
      </c>
      <c r="O62" s="58">
        <v>87.5</v>
      </c>
    </row>
    <row r="63" spans="1:15" ht="15" customHeight="1" x14ac:dyDescent="0.25">
      <c r="A63" s="57" t="s">
        <v>607</v>
      </c>
      <c r="B63" s="57" t="s">
        <v>349</v>
      </c>
      <c r="C63" s="57">
        <v>2026</v>
      </c>
      <c r="D63" s="57">
        <v>2755</v>
      </c>
      <c r="E63" s="57">
        <v>100</v>
      </c>
      <c r="F63" s="57">
        <v>2655</v>
      </c>
      <c r="G63" s="57">
        <v>190</v>
      </c>
      <c r="H63" s="57">
        <v>207</v>
      </c>
      <c r="I63" s="57">
        <v>365</v>
      </c>
      <c r="J63" s="57">
        <v>483</v>
      </c>
      <c r="K63" s="57">
        <v>519</v>
      </c>
      <c r="L63" s="57">
        <v>395</v>
      </c>
      <c r="M63" s="57">
        <v>496</v>
      </c>
      <c r="N63" s="57">
        <v>2159</v>
      </c>
      <c r="O63" s="58">
        <v>81.319999999999993</v>
      </c>
    </row>
    <row r="64" spans="1:15" ht="15" customHeight="1" x14ac:dyDescent="0.25">
      <c r="A64" s="55" t="s">
        <v>608</v>
      </c>
      <c r="B64" s="55" t="s">
        <v>485</v>
      </c>
      <c r="C64" s="55">
        <v>2025</v>
      </c>
      <c r="D64" s="55">
        <v>113729</v>
      </c>
      <c r="E64" s="55">
        <v>2827</v>
      </c>
      <c r="F64" s="55">
        <v>110902</v>
      </c>
      <c r="G64" s="55">
        <v>19777</v>
      </c>
      <c r="H64" s="55">
        <v>17165</v>
      </c>
      <c r="I64" s="55">
        <v>17992</v>
      </c>
      <c r="J64" s="55">
        <v>16455</v>
      </c>
      <c r="K64" s="55">
        <v>14203</v>
      </c>
      <c r="L64" s="55">
        <v>10832</v>
      </c>
      <c r="M64" s="55">
        <v>14478</v>
      </c>
      <c r="N64" s="55">
        <v>96424</v>
      </c>
      <c r="O64" s="56">
        <v>86.95</v>
      </c>
    </row>
    <row r="65" spans="1:15" ht="15" customHeight="1" x14ac:dyDescent="0.25">
      <c r="A65" s="57" t="s">
        <v>608</v>
      </c>
      <c r="B65" s="57" t="s">
        <v>485</v>
      </c>
      <c r="C65" s="57">
        <v>2026</v>
      </c>
      <c r="D65" s="57">
        <v>109505</v>
      </c>
      <c r="E65" s="57">
        <v>3123</v>
      </c>
      <c r="F65" s="57">
        <v>106382</v>
      </c>
      <c r="G65" s="57">
        <v>30687</v>
      </c>
      <c r="H65" s="57">
        <v>18095</v>
      </c>
      <c r="I65" s="57">
        <v>16314</v>
      </c>
      <c r="J65" s="57">
        <v>13624</v>
      </c>
      <c r="K65" s="57">
        <v>10636</v>
      </c>
      <c r="L65" s="57">
        <v>7591</v>
      </c>
      <c r="M65" s="57">
        <v>9435</v>
      </c>
      <c r="N65" s="57">
        <v>96947</v>
      </c>
      <c r="O65" s="58">
        <v>91.13</v>
      </c>
    </row>
    <row r="66" spans="1:15" ht="15" customHeight="1" x14ac:dyDescent="0.25">
      <c r="A66" s="55" t="s">
        <v>609</v>
      </c>
      <c r="B66" s="55" t="s">
        <v>485</v>
      </c>
      <c r="C66" s="55">
        <v>2025</v>
      </c>
      <c r="D66" s="55">
        <v>91</v>
      </c>
      <c r="E66" s="55">
        <v>6</v>
      </c>
      <c r="F66" s="55">
        <v>85</v>
      </c>
      <c r="G66" s="55">
        <v>72</v>
      </c>
      <c r="H66" s="55">
        <v>9</v>
      </c>
      <c r="I66" s="55">
        <v>1</v>
      </c>
      <c r="J66" s="55">
        <v>2</v>
      </c>
      <c r="K66" s="55">
        <v>0</v>
      </c>
      <c r="L66" s="55">
        <v>1</v>
      </c>
      <c r="M66" s="55">
        <v>0</v>
      </c>
      <c r="N66" s="55">
        <v>85</v>
      </c>
      <c r="O66" s="56">
        <v>100</v>
      </c>
    </row>
    <row r="67" spans="1:15" ht="15" customHeight="1" x14ac:dyDescent="0.25">
      <c r="A67" s="57" t="s">
        <v>609</v>
      </c>
      <c r="B67" s="57" t="s">
        <v>485</v>
      </c>
      <c r="C67" s="57">
        <v>2026</v>
      </c>
      <c r="D67" s="57">
        <v>106</v>
      </c>
      <c r="E67" s="57">
        <v>4</v>
      </c>
      <c r="F67" s="57">
        <v>102</v>
      </c>
      <c r="G67" s="57">
        <v>30</v>
      </c>
      <c r="H67" s="57">
        <v>22</v>
      </c>
      <c r="I67" s="57">
        <v>14</v>
      </c>
      <c r="J67" s="57">
        <v>22</v>
      </c>
      <c r="K67" s="57">
        <v>12</v>
      </c>
      <c r="L67" s="57">
        <v>1</v>
      </c>
      <c r="M67" s="57">
        <v>1</v>
      </c>
      <c r="N67" s="57">
        <v>101</v>
      </c>
      <c r="O67" s="58">
        <v>99.02</v>
      </c>
    </row>
    <row r="68" spans="1:15" ht="15" customHeight="1" x14ac:dyDescent="0.25">
      <c r="A68" s="55" t="s">
        <v>610</v>
      </c>
      <c r="B68" s="55" t="s">
        <v>351</v>
      </c>
      <c r="C68" s="55">
        <v>2025</v>
      </c>
      <c r="D68" s="55">
        <v>94780</v>
      </c>
      <c r="E68" s="55">
        <v>2209</v>
      </c>
      <c r="F68" s="55">
        <v>92571</v>
      </c>
      <c r="G68" s="55">
        <v>13791</v>
      </c>
      <c r="H68" s="55">
        <v>6854</v>
      </c>
      <c r="I68" s="55">
        <v>8630</v>
      </c>
      <c r="J68" s="55">
        <v>8740</v>
      </c>
      <c r="K68" s="55">
        <v>11365</v>
      </c>
      <c r="L68" s="55">
        <v>11066</v>
      </c>
      <c r="M68" s="55">
        <v>32125</v>
      </c>
      <c r="N68" s="55">
        <v>60446</v>
      </c>
      <c r="O68" s="56">
        <v>65.3</v>
      </c>
    </row>
    <row r="69" spans="1:15" ht="15" customHeight="1" x14ac:dyDescent="0.25">
      <c r="A69" s="57" t="s">
        <v>610</v>
      </c>
      <c r="B69" s="57" t="s">
        <v>351</v>
      </c>
      <c r="C69" s="57">
        <v>2026</v>
      </c>
      <c r="D69" s="57">
        <v>110612</v>
      </c>
      <c r="E69" s="57">
        <v>3169</v>
      </c>
      <c r="F69" s="57">
        <v>107443</v>
      </c>
      <c r="G69" s="57">
        <v>9534</v>
      </c>
      <c r="H69" s="57">
        <v>5565</v>
      </c>
      <c r="I69" s="57">
        <v>7874</v>
      </c>
      <c r="J69" s="57">
        <v>8721</v>
      </c>
      <c r="K69" s="57">
        <v>12377</v>
      </c>
      <c r="L69" s="57">
        <v>14811</v>
      </c>
      <c r="M69" s="57">
        <v>48561</v>
      </c>
      <c r="N69" s="57">
        <v>58882</v>
      </c>
      <c r="O69" s="58">
        <v>54.8</v>
      </c>
    </row>
    <row r="70" spans="1:15" ht="15" customHeight="1" x14ac:dyDescent="0.25">
      <c r="A70" s="55" t="s">
        <v>611</v>
      </c>
      <c r="B70" s="55" t="s">
        <v>612</v>
      </c>
      <c r="C70" s="55">
        <v>2025</v>
      </c>
      <c r="D70" s="55">
        <v>91</v>
      </c>
      <c r="E70" s="55">
        <v>6</v>
      </c>
      <c r="F70" s="55">
        <v>85</v>
      </c>
      <c r="G70" s="55">
        <v>35</v>
      </c>
      <c r="H70" s="55">
        <v>19</v>
      </c>
      <c r="I70" s="55">
        <v>20</v>
      </c>
      <c r="J70" s="55">
        <v>11</v>
      </c>
      <c r="K70" s="55">
        <v>0</v>
      </c>
      <c r="L70" s="55">
        <v>0</v>
      </c>
      <c r="M70" s="55">
        <v>0</v>
      </c>
      <c r="N70" s="55">
        <v>85</v>
      </c>
      <c r="O70" s="56">
        <v>100</v>
      </c>
    </row>
    <row r="71" spans="1:15" ht="15" customHeight="1" x14ac:dyDescent="0.25">
      <c r="A71" s="57" t="s">
        <v>611</v>
      </c>
      <c r="B71" s="57" t="s">
        <v>612</v>
      </c>
      <c r="C71" s="57">
        <v>2026</v>
      </c>
      <c r="D71" s="57">
        <v>106</v>
      </c>
      <c r="E71" s="57">
        <v>4</v>
      </c>
      <c r="F71" s="57">
        <v>102</v>
      </c>
      <c r="G71" s="57">
        <v>87</v>
      </c>
      <c r="H71" s="57">
        <v>12</v>
      </c>
      <c r="I71" s="57">
        <v>3</v>
      </c>
      <c r="J71" s="57">
        <v>0</v>
      </c>
      <c r="K71" s="57">
        <v>0</v>
      </c>
      <c r="L71" s="57">
        <v>0</v>
      </c>
      <c r="M71" s="57">
        <v>0</v>
      </c>
      <c r="N71" s="57">
        <v>102</v>
      </c>
      <c r="O71" s="58">
        <v>100</v>
      </c>
    </row>
    <row r="72" spans="1:15" ht="15" customHeight="1" x14ac:dyDescent="0.25">
      <c r="A72" s="55" t="s">
        <v>613</v>
      </c>
      <c r="B72" s="55" t="s">
        <v>352</v>
      </c>
      <c r="C72" s="55">
        <v>2025</v>
      </c>
      <c r="D72" s="55">
        <v>8</v>
      </c>
      <c r="E72" s="55">
        <v>1</v>
      </c>
      <c r="F72" s="55">
        <v>7</v>
      </c>
      <c r="G72" s="55">
        <v>0</v>
      </c>
      <c r="H72" s="55">
        <v>0</v>
      </c>
      <c r="I72" s="55">
        <v>1</v>
      </c>
      <c r="J72" s="55">
        <v>2</v>
      </c>
      <c r="K72" s="55">
        <v>0</v>
      </c>
      <c r="L72" s="55">
        <v>2</v>
      </c>
      <c r="M72" s="55">
        <v>2</v>
      </c>
      <c r="N72" s="55">
        <v>5</v>
      </c>
      <c r="O72" s="56">
        <v>71.430000000000007</v>
      </c>
    </row>
    <row r="73" spans="1:15" ht="15" customHeight="1" x14ac:dyDescent="0.25">
      <c r="A73" s="57" t="s">
        <v>613</v>
      </c>
      <c r="B73" s="57" t="s">
        <v>352</v>
      </c>
      <c r="C73" s="57">
        <v>2026</v>
      </c>
      <c r="D73" s="57">
        <v>9</v>
      </c>
      <c r="E73" s="57">
        <v>1</v>
      </c>
      <c r="F73" s="57">
        <v>8</v>
      </c>
      <c r="G73" s="57">
        <v>1</v>
      </c>
      <c r="H73" s="57">
        <v>0</v>
      </c>
      <c r="I73" s="57">
        <v>1</v>
      </c>
      <c r="J73" s="57">
        <v>1</v>
      </c>
      <c r="K73" s="57">
        <v>4</v>
      </c>
      <c r="L73" s="57">
        <v>1</v>
      </c>
      <c r="M73" s="57">
        <v>0</v>
      </c>
      <c r="N73" s="57">
        <v>8</v>
      </c>
      <c r="O73" s="58">
        <v>100</v>
      </c>
    </row>
    <row r="74" spans="1:15" ht="15" customHeight="1" x14ac:dyDescent="0.25">
      <c r="A74" s="55" t="s">
        <v>614</v>
      </c>
      <c r="B74" s="55" t="s">
        <v>353</v>
      </c>
      <c r="C74" s="55">
        <v>2025</v>
      </c>
      <c r="D74" s="55">
        <v>33</v>
      </c>
      <c r="E74" s="55">
        <v>0</v>
      </c>
      <c r="F74" s="55">
        <v>33</v>
      </c>
      <c r="G74" s="55">
        <v>25</v>
      </c>
      <c r="H74" s="55">
        <v>8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33</v>
      </c>
      <c r="O74" s="56">
        <v>100</v>
      </c>
    </row>
    <row r="75" spans="1:15" ht="15" customHeight="1" x14ac:dyDescent="0.25">
      <c r="A75" s="57" t="s">
        <v>614</v>
      </c>
      <c r="B75" s="57" t="s">
        <v>353</v>
      </c>
      <c r="C75" s="57">
        <v>2026</v>
      </c>
      <c r="D75" s="57">
        <v>37</v>
      </c>
      <c r="E75" s="57">
        <v>0</v>
      </c>
      <c r="F75" s="57">
        <v>37</v>
      </c>
      <c r="G75" s="57">
        <v>23</v>
      </c>
      <c r="H75" s="57">
        <v>4</v>
      </c>
      <c r="I75" s="57">
        <v>4</v>
      </c>
      <c r="J75" s="57">
        <v>1</v>
      </c>
      <c r="K75" s="57">
        <v>4</v>
      </c>
      <c r="L75" s="57">
        <v>1</v>
      </c>
      <c r="M75" s="57">
        <v>0</v>
      </c>
      <c r="N75" s="57">
        <v>37</v>
      </c>
      <c r="O75" s="58">
        <v>100</v>
      </c>
    </row>
    <row r="76" spans="1:15" ht="15" customHeight="1" x14ac:dyDescent="0.25">
      <c r="A76" s="55" t="s">
        <v>615</v>
      </c>
      <c r="B76" s="55" t="s">
        <v>189</v>
      </c>
      <c r="C76" s="55">
        <v>2025</v>
      </c>
      <c r="D76" s="55">
        <v>94780</v>
      </c>
      <c r="E76" s="55">
        <v>2212</v>
      </c>
      <c r="F76" s="55">
        <v>92568</v>
      </c>
      <c r="G76" s="55">
        <v>13833</v>
      </c>
      <c r="H76" s="55">
        <v>8252</v>
      </c>
      <c r="I76" s="55">
        <v>9709</v>
      </c>
      <c r="J76" s="55">
        <v>11233</v>
      </c>
      <c r="K76" s="55">
        <v>12504</v>
      </c>
      <c r="L76" s="55">
        <v>12223</v>
      </c>
      <c r="M76" s="55">
        <v>24814</v>
      </c>
      <c r="N76" s="55">
        <v>67754</v>
      </c>
      <c r="O76" s="56">
        <v>73.19</v>
      </c>
    </row>
    <row r="77" spans="1:15" ht="15" customHeight="1" x14ac:dyDescent="0.25">
      <c r="A77" s="57" t="s">
        <v>615</v>
      </c>
      <c r="B77" s="57" t="s">
        <v>189</v>
      </c>
      <c r="C77" s="57">
        <v>2026</v>
      </c>
      <c r="D77" s="57">
        <v>83644</v>
      </c>
      <c r="E77" s="57">
        <v>1989</v>
      </c>
      <c r="F77" s="57">
        <v>81655</v>
      </c>
      <c r="G77" s="57">
        <v>15376</v>
      </c>
      <c r="H77" s="57">
        <v>7952</v>
      </c>
      <c r="I77" s="57">
        <v>9014</v>
      </c>
      <c r="J77" s="57">
        <v>9691</v>
      </c>
      <c r="K77" s="57">
        <v>9999</v>
      </c>
      <c r="L77" s="57">
        <v>10363</v>
      </c>
      <c r="M77" s="57">
        <v>19260</v>
      </c>
      <c r="N77" s="57">
        <v>62395</v>
      </c>
      <c r="O77" s="58">
        <v>76.41</v>
      </c>
    </row>
    <row r="78" spans="1:15" ht="15" customHeight="1" x14ac:dyDescent="0.25">
      <c r="A78" s="57" t="s">
        <v>616</v>
      </c>
      <c r="B78" s="57" t="s">
        <v>354</v>
      </c>
      <c r="C78" s="57">
        <v>2026</v>
      </c>
      <c r="D78" s="57">
        <v>3775</v>
      </c>
      <c r="E78" s="57">
        <v>133</v>
      </c>
      <c r="F78" s="57">
        <v>3642</v>
      </c>
      <c r="G78" s="57">
        <v>398</v>
      </c>
      <c r="H78" s="57">
        <v>338</v>
      </c>
      <c r="I78" s="57">
        <v>426</v>
      </c>
      <c r="J78" s="57">
        <v>465</v>
      </c>
      <c r="K78" s="57">
        <v>486</v>
      </c>
      <c r="L78" s="57">
        <v>290</v>
      </c>
      <c r="M78" s="57">
        <v>1239</v>
      </c>
      <c r="N78" s="57">
        <v>2403</v>
      </c>
      <c r="O78" s="58">
        <v>65.98</v>
      </c>
    </row>
    <row r="79" spans="1:15" ht="15" customHeight="1" x14ac:dyDescent="0.25">
      <c r="A79" s="55" t="s">
        <v>617</v>
      </c>
      <c r="B79" s="55" t="s">
        <v>355</v>
      </c>
      <c r="C79" s="55">
        <v>2025</v>
      </c>
      <c r="D79" s="55">
        <v>272</v>
      </c>
      <c r="E79" s="55">
        <v>15</v>
      </c>
      <c r="F79" s="55">
        <v>257</v>
      </c>
      <c r="G79" s="55">
        <v>56</v>
      </c>
      <c r="H79" s="55">
        <v>41</v>
      </c>
      <c r="I79" s="55">
        <v>57</v>
      </c>
      <c r="J79" s="55">
        <v>33</v>
      </c>
      <c r="K79" s="55">
        <v>19</v>
      </c>
      <c r="L79" s="55">
        <v>11</v>
      </c>
      <c r="M79" s="55">
        <v>40</v>
      </c>
      <c r="N79" s="55">
        <v>217</v>
      </c>
      <c r="O79" s="56">
        <v>84.44</v>
      </c>
    </row>
    <row r="80" spans="1:15" ht="15" customHeight="1" x14ac:dyDescent="0.25">
      <c r="A80" s="57" t="s">
        <v>617</v>
      </c>
      <c r="B80" s="57" t="s">
        <v>355</v>
      </c>
      <c r="C80" s="57">
        <v>2026</v>
      </c>
      <c r="D80" s="57">
        <v>434</v>
      </c>
      <c r="E80" s="57">
        <v>28</v>
      </c>
      <c r="F80" s="57">
        <v>406</v>
      </c>
      <c r="G80" s="57">
        <v>35</v>
      </c>
      <c r="H80" s="57">
        <v>38</v>
      </c>
      <c r="I80" s="57">
        <v>77</v>
      </c>
      <c r="J80" s="57">
        <v>69</v>
      </c>
      <c r="K80" s="57">
        <v>72</v>
      </c>
      <c r="L80" s="57">
        <v>32</v>
      </c>
      <c r="M80" s="57">
        <v>83</v>
      </c>
      <c r="N80" s="57">
        <v>323</v>
      </c>
      <c r="O80" s="58">
        <v>79.56</v>
      </c>
    </row>
    <row r="81" spans="1:15" ht="15" customHeight="1" x14ac:dyDescent="0.25">
      <c r="A81" s="55" t="s">
        <v>618</v>
      </c>
      <c r="B81" s="55" t="s">
        <v>356</v>
      </c>
      <c r="C81" s="55">
        <v>2025</v>
      </c>
      <c r="D81" s="55">
        <v>732</v>
      </c>
      <c r="E81" s="55">
        <v>36</v>
      </c>
      <c r="F81" s="55">
        <v>696</v>
      </c>
      <c r="G81" s="55">
        <v>125</v>
      </c>
      <c r="H81" s="55">
        <v>163</v>
      </c>
      <c r="I81" s="55">
        <v>167</v>
      </c>
      <c r="J81" s="55">
        <v>96</v>
      </c>
      <c r="K81" s="55">
        <v>72</v>
      </c>
      <c r="L81" s="55">
        <v>43</v>
      </c>
      <c r="M81" s="55">
        <v>30</v>
      </c>
      <c r="N81" s="55">
        <v>666</v>
      </c>
      <c r="O81" s="56">
        <v>95.69</v>
      </c>
    </row>
    <row r="82" spans="1:15" ht="15" customHeight="1" x14ac:dyDescent="0.25">
      <c r="A82" s="57" t="s">
        <v>618</v>
      </c>
      <c r="B82" s="57" t="s">
        <v>356</v>
      </c>
      <c r="C82" s="57">
        <v>2026</v>
      </c>
      <c r="D82" s="57">
        <v>887</v>
      </c>
      <c r="E82" s="57">
        <v>57</v>
      </c>
      <c r="F82" s="57">
        <v>830</v>
      </c>
      <c r="G82" s="57">
        <v>38</v>
      </c>
      <c r="H82" s="57">
        <v>72</v>
      </c>
      <c r="I82" s="57">
        <v>93</v>
      </c>
      <c r="J82" s="57">
        <v>119</v>
      </c>
      <c r="K82" s="57">
        <v>136</v>
      </c>
      <c r="L82" s="57">
        <v>175</v>
      </c>
      <c r="M82" s="57">
        <v>197</v>
      </c>
      <c r="N82" s="57">
        <v>633</v>
      </c>
      <c r="O82" s="58">
        <v>76.27</v>
      </c>
    </row>
    <row r="83" spans="1:15" ht="15" customHeight="1" x14ac:dyDescent="0.25">
      <c r="A83" s="55" t="s">
        <v>619</v>
      </c>
      <c r="B83" s="55" t="s">
        <v>357</v>
      </c>
      <c r="C83" s="55">
        <v>2025</v>
      </c>
      <c r="D83" s="55">
        <v>1229</v>
      </c>
      <c r="E83" s="55">
        <v>48</v>
      </c>
      <c r="F83" s="55">
        <v>1180</v>
      </c>
      <c r="G83" s="55">
        <v>606</v>
      </c>
      <c r="H83" s="55">
        <v>150</v>
      </c>
      <c r="I83" s="55">
        <v>122</v>
      </c>
      <c r="J83" s="55">
        <v>82</v>
      </c>
      <c r="K83" s="55">
        <v>59</v>
      </c>
      <c r="L83" s="55">
        <v>29</v>
      </c>
      <c r="M83" s="55">
        <v>133</v>
      </c>
      <c r="N83" s="55">
        <v>1048</v>
      </c>
      <c r="O83" s="56">
        <v>88.81</v>
      </c>
    </row>
    <row r="84" spans="1:15" ht="15" customHeight="1" x14ac:dyDescent="0.25">
      <c r="A84" s="57" t="s">
        <v>619</v>
      </c>
      <c r="B84" s="57" t="s">
        <v>357</v>
      </c>
      <c r="C84" s="57">
        <v>2026</v>
      </c>
      <c r="D84" s="57">
        <v>1107</v>
      </c>
      <c r="E84" s="57">
        <v>39</v>
      </c>
      <c r="F84" s="57">
        <v>1068</v>
      </c>
      <c r="G84" s="57">
        <v>665</v>
      </c>
      <c r="H84" s="57">
        <v>108</v>
      </c>
      <c r="I84" s="57">
        <v>84</v>
      </c>
      <c r="J84" s="57">
        <v>53</v>
      </c>
      <c r="K84" s="57">
        <v>43</v>
      </c>
      <c r="L84" s="57">
        <v>34</v>
      </c>
      <c r="M84" s="57">
        <v>81</v>
      </c>
      <c r="N84" s="57">
        <v>987</v>
      </c>
      <c r="O84" s="58">
        <v>92.42</v>
      </c>
    </row>
    <row r="85" spans="1:15" ht="15" customHeight="1" x14ac:dyDescent="0.25">
      <c r="A85" s="55" t="s">
        <v>620</v>
      </c>
      <c r="B85" s="55" t="s">
        <v>358</v>
      </c>
      <c r="C85" s="55">
        <v>2025</v>
      </c>
      <c r="D85" s="55">
        <v>58</v>
      </c>
      <c r="E85" s="55">
        <v>6</v>
      </c>
      <c r="F85" s="55">
        <v>52</v>
      </c>
      <c r="G85" s="55">
        <v>23</v>
      </c>
      <c r="H85" s="55">
        <v>11</v>
      </c>
      <c r="I85" s="55">
        <v>8</v>
      </c>
      <c r="J85" s="55">
        <v>7</v>
      </c>
      <c r="K85" s="55">
        <v>3</v>
      </c>
      <c r="L85" s="55">
        <v>0</v>
      </c>
      <c r="M85" s="55">
        <v>0</v>
      </c>
      <c r="N85" s="55">
        <v>52</v>
      </c>
      <c r="O85" s="56">
        <v>100</v>
      </c>
    </row>
    <row r="86" spans="1:15" ht="15" customHeight="1" x14ac:dyDescent="0.25">
      <c r="A86" s="57" t="s">
        <v>620</v>
      </c>
      <c r="B86" s="57" t="s">
        <v>358</v>
      </c>
      <c r="C86" s="57">
        <v>2026</v>
      </c>
      <c r="D86" s="57">
        <v>69</v>
      </c>
      <c r="E86" s="57">
        <v>4</v>
      </c>
      <c r="F86" s="57">
        <v>65</v>
      </c>
      <c r="G86" s="57">
        <v>41</v>
      </c>
      <c r="H86" s="57">
        <v>21</v>
      </c>
      <c r="I86" s="57">
        <v>3</v>
      </c>
      <c r="J86" s="57">
        <v>0</v>
      </c>
      <c r="K86" s="57">
        <v>0</v>
      </c>
      <c r="L86" s="57">
        <v>0</v>
      </c>
      <c r="M86" s="57">
        <v>0</v>
      </c>
      <c r="N86" s="57">
        <v>65</v>
      </c>
      <c r="O86" s="58">
        <v>100</v>
      </c>
    </row>
    <row r="87" spans="1:15" ht="15" customHeight="1" x14ac:dyDescent="0.25">
      <c r="A87" s="55" t="s">
        <v>621</v>
      </c>
      <c r="B87" s="55" t="s">
        <v>359</v>
      </c>
      <c r="C87" s="55">
        <v>2025</v>
      </c>
      <c r="D87" s="55">
        <v>113728</v>
      </c>
      <c r="E87" s="55">
        <v>2662</v>
      </c>
      <c r="F87" s="55">
        <v>111066</v>
      </c>
      <c r="G87" s="55">
        <v>45729</v>
      </c>
      <c r="H87" s="55">
        <v>16225</v>
      </c>
      <c r="I87" s="55">
        <v>13396</v>
      </c>
      <c r="J87" s="55">
        <v>11794</v>
      </c>
      <c r="K87" s="55">
        <v>10114</v>
      </c>
      <c r="L87" s="55">
        <v>6816</v>
      </c>
      <c r="M87" s="55">
        <v>6992</v>
      </c>
      <c r="N87" s="55">
        <v>104074</v>
      </c>
      <c r="O87" s="56">
        <v>93.7</v>
      </c>
    </row>
    <row r="88" spans="1:15" ht="15" customHeight="1" x14ac:dyDescent="0.25">
      <c r="A88" s="57" t="s">
        <v>621</v>
      </c>
      <c r="B88" s="57" t="s">
        <v>359</v>
      </c>
      <c r="C88" s="57">
        <v>2026</v>
      </c>
      <c r="D88" s="57">
        <v>109505</v>
      </c>
      <c r="E88" s="57">
        <v>3032</v>
      </c>
      <c r="F88" s="57">
        <v>106473</v>
      </c>
      <c r="G88" s="57">
        <v>49750</v>
      </c>
      <c r="H88" s="57">
        <v>15964</v>
      </c>
      <c r="I88" s="57">
        <v>11987</v>
      </c>
      <c r="J88" s="57">
        <v>9089</v>
      </c>
      <c r="K88" s="57">
        <v>7305</v>
      </c>
      <c r="L88" s="57">
        <v>5101</v>
      </c>
      <c r="M88" s="57">
        <v>7277</v>
      </c>
      <c r="N88" s="57">
        <v>99196</v>
      </c>
      <c r="O88" s="58">
        <v>93.17</v>
      </c>
    </row>
    <row r="89" spans="1:15" ht="15" customHeight="1" x14ac:dyDescent="0.25">
      <c r="A89" s="55" t="s">
        <v>622</v>
      </c>
      <c r="B89" s="55" t="s">
        <v>359</v>
      </c>
      <c r="C89" s="55">
        <v>2025</v>
      </c>
      <c r="D89" s="55">
        <v>91</v>
      </c>
      <c r="E89" s="55">
        <v>6</v>
      </c>
      <c r="F89" s="55">
        <v>85</v>
      </c>
      <c r="G89" s="55">
        <v>39</v>
      </c>
      <c r="H89" s="55">
        <v>24</v>
      </c>
      <c r="I89" s="55">
        <v>22</v>
      </c>
      <c r="J89" s="55">
        <v>0</v>
      </c>
      <c r="K89" s="55">
        <v>0</v>
      </c>
      <c r="L89" s="55">
        <v>0</v>
      </c>
      <c r="M89" s="55">
        <v>0</v>
      </c>
      <c r="N89" s="55">
        <v>85</v>
      </c>
      <c r="O89" s="56">
        <v>100</v>
      </c>
    </row>
    <row r="90" spans="1:15" ht="15" customHeight="1" x14ac:dyDescent="0.25">
      <c r="A90" s="57" t="s">
        <v>622</v>
      </c>
      <c r="B90" s="57" t="s">
        <v>359</v>
      </c>
      <c r="C90" s="57">
        <v>2026</v>
      </c>
      <c r="D90" s="57">
        <v>106</v>
      </c>
      <c r="E90" s="57">
        <v>4</v>
      </c>
      <c r="F90" s="57">
        <v>102</v>
      </c>
      <c r="G90" s="57">
        <v>33</v>
      </c>
      <c r="H90" s="57">
        <v>5</v>
      </c>
      <c r="I90" s="57">
        <v>4</v>
      </c>
      <c r="J90" s="57">
        <v>9</v>
      </c>
      <c r="K90" s="57">
        <v>25</v>
      </c>
      <c r="L90" s="57">
        <v>24</v>
      </c>
      <c r="M90" s="57">
        <v>2</v>
      </c>
      <c r="N90" s="57">
        <v>100</v>
      </c>
      <c r="O90" s="58">
        <v>98.04</v>
      </c>
    </row>
    <row r="91" spans="1:15" ht="15" customHeight="1" x14ac:dyDescent="0.25">
      <c r="A91" s="55" t="s">
        <v>623</v>
      </c>
      <c r="B91" s="55" t="s">
        <v>191</v>
      </c>
      <c r="C91" s="55">
        <v>2025</v>
      </c>
      <c r="D91" s="55">
        <v>114956</v>
      </c>
      <c r="E91" s="55">
        <v>2825</v>
      </c>
      <c r="F91" s="55">
        <v>112131</v>
      </c>
      <c r="G91" s="55">
        <v>18959</v>
      </c>
      <c r="H91" s="55">
        <v>19600</v>
      </c>
      <c r="I91" s="55">
        <v>23125</v>
      </c>
      <c r="J91" s="55">
        <v>17471</v>
      </c>
      <c r="K91" s="55">
        <v>15239</v>
      </c>
      <c r="L91" s="55">
        <v>9463</v>
      </c>
      <c r="M91" s="55">
        <v>8274</v>
      </c>
      <c r="N91" s="55">
        <v>103857</v>
      </c>
      <c r="O91" s="56">
        <v>92.62</v>
      </c>
    </row>
    <row r="92" spans="1:15" ht="15" customHeight="1" x14ac:dyDescent="0.25">
      <c r="A92" s="57" t="s">
        <v>623</v>
      </c>
      <c r="B92" s="57" t="s">
        <v>191</v>
      </c>
      <c r="C92" s="57">
        <v>2026</v>
      </c>
      <c r="D92" s="57">
        <v>110612</v>
      </c>
      <c r="E92" s="57">
        <v>3107</v>
      </c>
      <c r="F92" s="57">
        <v>107505</v>
      </c>
      <c r="G92" s="57">
        <v>22139</v>
      </c>
      <c r="H92" s="57">
        <v>21542</v>
      </c>
      <c r="I92" s="57">
        <v>23809</v>
      </c>
      <c r="J92" s="57">
        <v>15881</v>
      </c>
      <c r="K92" s="57">
        <v>11911</v>
      </c>
      <c r="L92" s="57">
        <v>6543</v>
      </c>
      <c r="M92" s="57">
        <v>5680</v>
      </c>
      <c r="N92" s="57">
        <v>101825</v>
      </c>
      <c r="O92" s="58">
        <v>94.72</v>
      </c>
    </row>
    <row r="93" spans="1:15" ht="15" customHeight="1" x14ac:dyDescent="0.25">
      <c r="A93" s="55" t="s">
        <v>624</v>
      </c>
      <c r="B93" s="55" t="s">
        <v>191</v>
      </c>
      <c r="C93" s="55">
        <v>2025</v>
      </c>
      <c r="D93" s="55">
        <v>91</v>
      </c>
      <c r="E93" s="55">
        <v>6</v>
      </c>
      <c r="F93" s="55">
        <v>85</v>
      </c>
      <c r="G93" s="55">
        <v>7</v>
      </c>
      <c r="H93" s="55">
        <v>22</v>
      </c>
      <c r="I93" s="55">
        <v>14</v>
      </c>
      <c r="J93" s="55">
        <v>21</v>
      </c>
      <c r="K93" s="55">
        <v>16</v>
      </c>
      <c r="L93" s="55">
        <v>5</v>
      </c>
      <c r="M93" s="55">
        <v>0</v>
      </c>
      <c r="N93" s="55">
        <v>85</v>
      </c>
      <c r="O93" s="56">
        <v>100</v>
      </c>
    </row>
    <row r="94" spans="1:15" ht="15" customHeight="1" x14ac:dyDescent="0.25">
      <c r="A94" s="57" t="s">
        <v>624</v>
      </c>
      <c r="B94" s="57" t="s">
        <v>191</v>
      </c>
      <c r="C94" s="57">
        <v>2026</v>
      </c>
      <c r="D94" s="57">
        <v>106</v>
      </c>
      <c r="E94" s="57">
        <v>4</v>
      </c>
      <c r="F94" s="57">
        <v>102</v>
      </c>
      <c r="G94" s="57">
        <v>7</v>
      </c>
      <c r="H94" s="57">
        <v>15</v>
      </c>
      <c r="I94" s="57">
        <v>16</v>
      </c>
      <c r="J94" s="57">
        <v>12</v>
      </c>
      <c r="K94" s="57">
        <v>49</v>
      </c>
      <c r="L94" s="57">
        <v>3</v>
      </c>
      <c r="M94" s="57">
        <v>0</v>
      </c>
      <c r="N94" s="57">
        <v>102</v>
      </c>
      <c r="O94" s="58">
        <v>100</v>
      </c>
    </row>
    <row r="95" spans="1:15" ht="15" customHeight="1" x14ac:dyDescent="0.25">
      <c r="A95" s="55" t="s">
        <v>625</v>
      </c>
      <c r="B95" s="55" t="s">
        <v>492</v>
      </c>
      <c r="C95" s="55">
        <v>2025</v>
      </c>
      <c r="D95" s="55">
        <v>6</v>
      </c>
      <c r="E95" s="55">
        <v>0</v>
      </c>
      <c r="F95" s="55">
        <v>6</v>
      </c>
      <c r="G95" s="55">
        <v>0</v>
      </c>
      <c r="H95" s="55">
        <v>0</v>
      </c>
      <c r="I95" s="55">
        <v>2</v>
      </c>
      <c r="J95" s="55">
        <v>0</v>
      </c>
      <c r="K95" s="55">
        <v>1</v>
      </c>
      <c r="L95" s="55">
        <v>0</v>
      </c>
      <c r="M95" s="55">
        <v>3</v>
      </c>
      <c r="N95" s="55">
        <v>3</v>
      </c>
      <c r="O95" s="56">
        <v>50</v>
      </c>
    </row>
    <row r="96" spans="1:15" ht="15" customHeight="1" x14ac:dyDescent="0.25">
      <c r="A96" s="57" t="s">
        <v>625</v>
      </c>
      <c r="B96" s="57" t="s">
        <v>492</v>
      </c>
      <c r="C96" s="57">
        <v>2026</v>
      </c>
      <c r="D96" s="57">
        <v>1</v>
      </c>
      <c r="E96" s="57">
        <v>0</v>
      </c>
      <c r="F96" s="57">
        <v>1</v>
      </c>
      <c r="G96" s="57">
        <v>0</v>
      </c>
      <c r="H96" s="57">
        <v>0</v>
      </c>
      <c r="I96" s="57">
        <v>0</v>
      </c>
      <c r="J96" s="57">
        <v>0</v>
      </c>
      <c r="K96" s="57">
        <v>0</v>
      </c>
      <c r="L96" s="57">
        <v>1</v>
      </c>
      <c r="M96" s="57">
        <v>0</v>
      </c>
      <c r="N96" s="57">
        <v>1</v>
      </c>
      <c r="O96" s="58">
        <v>100</v>
      </c>
    </row>
    <row r="97" spans="1:15" ht="15" customHeight="1" x14ac:dyDescent="0.25">
      <c r="A97" s="57" t="s">
        <v>626</v>
      </c>
      <c r="B97" s="57" t="s">
        <v>493</v>
      </c>
      <c r="C97" s="57">
        <v>2026</v>
      </c>
      <c r="D97" s="57">
        <v>2</v>
      </c>
      <c r="E97" s="57">
        <v>0</v>
      </c>
      <c r="F97" s="57">
        <v>2</v>
      </c>
      <c r="G97" s="57">
        <v>1</v>
      </c>
      <c r="H97" s="57">
        <v>1</v>
      </c>
      <c r="I97" s="57">
        <v>0</v>
      </c>
      <c r="J97" s="57">
        <v>0</v>
      </c>
      <c r="K97" s="57">
        <v>0</v>
      </c>
      <c r="L97" s="57">
        <v>0</v>
      </c>
      <c r="M97" s="57">
        <v>0</v>
      </c>
      <c r="N97" s="57">
        <v>2</v>
      </c>
      <c r="O97" s="58">
        <v>100</v>
      </c>
    </row>
  </sheetData>
  <autoFilter ref="A1:O97" xr:uid="{00000000-0009-0000-0000-000031000000}"/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4" customWidth="1"/>
    <col min="4" max="4" width="12" customWidth="1"/>
  </cols>
  <sheetData>
    <row r="1" spans="1:4" ht="15" customHeight="1" x14ac:dyDescent="0.25">
      <c r="A1" s="35" t="s">
        <v>121</v>
      </c>
      <c r="B1" s="35" t="s">
        <v>122</v>
      </c>
      <c r="C1" s="35" t="s">
        <v>123</v>
      </c>
      <c r="D1" s="35" t="s">
        <v>132</v>
      </c>
    </row>
    <row r="2" spans="1:4" ht="15" customHeight="1" x14ac:dyDescent="0.25">
      <c r="A2" s="36">
        <v>2025</v>
      </c>
      <c r="B2" s="36">
        <v>105854</v>
      </c>
      <c r="C2" s="36">
        <v>60698</v>
      </c>
      <c r="D2" s="37">
        <f>C2/B2</f>
        <v>0.57341243599675029</v>
      </c>
    </row>
    <row r="3" spans="1:4" ht="15" customHeight="1" x14ac:dyDescent="0.25">
      <c r="A3" s="38">
        <v>2026</v>
      </c>
      <c r="B3" s="38">
        <v>106001</v>
      </c>
      <c r="C3" s="38">
        <v>51081</v>
      </c>
      <c r="D3" s="39">
        <f>C3/B3</f>
        <v>0.48189168026716728</v>
      </c>
    </row>
    <row r="4" spans="1:4" ht="15" customHeight="1" x14ac:dyDescent="0.25">
      <c r="A4" s="40" t="s">
        <v>125</v>
      </c>
      <c r="B4" s="40">
        <f>B3-B2</f>
        <v>147</v>
      </c>
      <c r="C4" s="40">
        <f>C3-C2</f>
        <v>-9617</v>
      </c>
      <c r="D4" s="41">
        <f>D3-D2</f>
        <v>-9.1520755729583014E-2</v>
      </c>
    </row>
  </sheetData>
  <autoFilter ref="A1:D4" xr:uid="{00000000-0009-0000-0000-000032000000}"/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6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4" customWidth="1"/>
    <col min="3" max="3" width="22" customWidth="1"/>
    <col min="4" max="4" width="10" customWidth="1"/>
    <col min="5" max="5" width="12" customWidth="1"/>
  </cols>
  <sheetData>
    <row r="1" spans="1:7" ht="15" customHeight="1" x14ac:dyDescent="0.25">
      <c r="A1" s="35" t="s">
        <v>121</v>
      </c>
      <c r="B1" s="35" t="s">
        <v>131</v>
      </c>
      <c r="C1" s="35" t="s">
        <v>130</v>
      </c>
      <c r="D1" s="35" t="s">
        <v>229</v>
      </c>
      <c r="E1" s="35" t="s">
        <v>122</v>
      </c>
      <c r="F1" s="35" t="s">
        <v>123</v>
      </c>
      <c r="G1" s="35" t="s">
        <v>132</v>
      </c>
    </row>
    <row r="2" spans="1:7" ht="15" customHeight="1" x14ac:dyDescent="0.25">
      <c r="A2" s="38">
        <v>2026</v>
      </c>
      <c r="B2" s="38" t="s">
        <v>244</v>
      </c>
      <c r="C2" s="38" t="s">
        <v>52</v>
      </c>
      <c r="D2" s="38" t="s">
        <v>232</v>
      </c>
      <c r="E2" s="38">
        <v>39651</v>
      </c>
      <c r="F2" s="38">
        <v>18389</v>
      </c>
      <c r="G2" s="39">
        <f t="shared" ref="G2:G33" si="0">IF(E2=0,0,F2/E2)</f>
        <v>0.46377140551310181</v>
      </c>
    </row>
    <row r="3" spans="1:7" ht="15" customHeight="1" x14ac:dyDescent="0.25">
      <c r="A3" s="38">
        <v>2026</v>
      </c>
      <c r="B3" s="38" t="s">
        <v>244</v>
      </c>
      <c r="C3" s="38" t="s">
        <v>52</v>
      </c>
      <c r="D3" s="38" t="s">
        <v>233</v>
      </c>
      <c r="E3" s="38">
        <v>33275</v>
      </c>
      <c r="F3" s="38">
        <v>20275</v>
      </c>
      <c r="G3" s="39">
        <f t="shared" si="0"/>
        <v>0.6093163035311796</v>
      </c>
    </row>
    <row r="4" spans="1:7" ht="15" customHeight="1" x14ac:dyDescent="0.25">
      <c r="A4" s="38">
        <v>2026</v>
      </c>
      <c r="B4" s="38" t="s">
        <v>244</v>
      </c>
      <c r="C4" s="38" t="s">
        <v>52</v>
      </c>
      <c r="D4" s="38" t="s">
        <v>234</v>
      </c>
      <c r="E4" s="38">
        <v>72926</v>
      </c>
      <c r="F4" s="38">
        <v>38664</v>
      </c>
      <c r="G4" s="39">
        <f t="shared" si="0"/>
        <v>0.53018127965334727</v>
      </c>
    </row>
    <row r="5" spans="1:7" ht="15" customHeight="1" x14ac:dyDescent="0.25">
      <c r="A5" s="38">
        <v>2026</v>
      </c>
      <c r="B5" s="38" t="s">
        <v>244</v>
      </c>
      <c r="C5" s="38" t="s">
        <v>62</v>
      </c>
      <c r="D5" s="38" t="s">
        <v>232</v>
      </c>
      <c r="E5" s="38">
        <v>373</v>
      </c>
      <c r="F5" s="38">
        <v>99</v>
      </c>
      <c r="G5" s="39">
        <f t="shared" si="0"/>
        <v>0.26541554959785524</v>
      </c>
    </row>
    <row r="6" spans="1:7" ht="15" customHeight="1" x14ac:dyDescent="0.25">
      <c r="A6" s="38">
        <v>2026</v>
      </c>
      <c r="B6" s="38" t="s">
        <v>244</v>
      </c>
      <c r="C6" s="38" t="s">
        <v>62</v>
      </c>
      <c r="D6" s="38" t="s">
        <v>233</v>
      </c>
      <c r="E6" s="38">
        <v>3142</v>
      </c>
      <c r="F6" s="38">
        <v>796</v>
      </c>
      <c r="G6" s="39">
        <f t="shared" si="0"/>
        <v>0.25334182049649906</v>
      </c>
    </row>
    <row r="7" spans="1:7" ht="15" customHeight="1" x14ac:dyDescent="0.25">
      <c r="A7" s="38">
        <v>2026</v>
      </c>
      <c r="B7" s="38" t="s">
        <v>244</v>
      </c>
      <c r="C7" s="38" t="s">
        <v>62</v>
      </c>
      <c r="D7" s="38" t="s">
        <v>234</v>
      </c>
      <c r="E7" s="38">
        <v>3515</v>
      </c>
      <c r="F7" s="38">
        <v>895</v>
      </c>
      <c r="G7" s="39">
        <f t="shared" si="0"/>
        <v>0.25462304409672831</v>
      </c>
    </row>
    <row r="8" spans="1:7" ht="15" customHeight="1" x14ac:dyDescent="0.25">
      <c r="A8" s="38">
        <v>2026</v>
      </c>
      <c r="B8" s="38" t="s">
        <v>244</v>
      </c>
      <c r="C8" s="38" t="s">
        <v>627</v>
      </c>
      <c r="D8" s="38" t="s">
        <v>232</v>
      </c>
      <c r="E8" s="38">
        <v>23</v>
      </c>
      <c r="F8" s="38">
        <v>0</v>
      </c>
      <c r="G8" s="39">
        <f t="shared" si="0"/>
        <v>0</v>
      </c>
    </row>
    <row r="9" spans="1:7" ht="15" customHeight="1" x14ac:dyDescent="0.25">
      <c r="A9" s="38">
        <v>2026</v>
      </c>
      <c r="B9" s="38" t="s">
        <v>244</v>
      </c>
      <c r="C9" s="38" t="s">
        <v>627</v>
      </c>
      <c r="D9" s="38" t="s">
        <v>233</v>
      </c>
      <c r="E9" s="38">
        <v>366</v>
      </c>
      <c r="F9" s="38">
        <v>81</v>
      </c>
      <c r="G9" s="39">
        <f t="shared" si="0"/>
        <v>0.22131147540983606</v>
      </c>
    </row>
    <row r="10" spans="1:7" ht="15" customHeight="1" x14ac:dyDescent="0.25">
      <c r="A10" s="38">
        <v>2026</v>
      </c>
      <c r="B10" s="38" t="s">
        <v>244</v>
      </c>
      <c r="C10" s="38" t="s">
        <v>627</v>
      </c>
      <c r="D10" s="38" t="s">
        <v>234</v>
      </c>
      <c r="E10" s="38">
        <v>389</v>
      </c>
      <c r="F10" s="38">
        <v>81</v>
      </c>
      <c r="G10" s="39">
        <f t="shared" si="0"/>
        <v>0.20822622107969152</v>
      </c>
    </row>
    <row r="11" spans="1:7" ht="15" customHeight="1" x14ac:dyDescent="0.25">
      <c r="A11" s="38">
        <v>2026</v>
      </c>
      <c r="B11" s="38" t="s">
        <v>244</v>
      </c>
      <c r="C11" s="38" t="s">
        <v>628</v>
      </c>
      <c r="D11" s="38" t="s">
        <v>232</v>
      </c>
      <c r="E11" s="38">
        <v>204</v>
      </c>
      <c r="F11" s="38">
        <v>67</v>
      </c>
      <c r="G11" s="39">
        <f t="shared" si="0"/>
        <v>0.32843137254901961</v>
      </c>
    </row>
    <row r="12" spans="1:7" ht="15" customHeight="1" x14ac:dyDescent="0.25">
      <c r="A12" s="38">
        <v>2026</v>
      </c>
      <c r="B12" s="38" t="s">
        <v>244</v>
      </c>
      <c r="C12" s="38" t="s">
        <v>628</v>
      </c>
      <c r="D12" s="38" t="s">
        <v>233</v>
      </c>
      <c r="E12" s="38">
        <v>36</v>
      </c>
      <c r="F12" s="38">
        <v>29</v>
      </c>
      <c r="G12" s="39">
        <f t="shared" si="0"/>
        <v>0.80555555555555558</v>
      </c>
    </row>
    <row r="13" spans="1:7" ht="15" customHeight="1" x14ac:dyDescent="0.25">
      <c r="A13" s="38">
        <v>2026</v>
      </c>
      <c r="B13" s="38" t="s">
        <v>244</v>
      </c>
      <c r="C13" s="38" t="s">
        <v>628</v>
      </c>
      <c r="D13" s="38" t="s">
        <v>234</v>
      </c>
      <c r="E13" s="38">
        <v>240</v>
      </c>
      <c r="F13" s="38">
        <v>96</v>
      </c>
      <c r="G13" s="39">
        <f t="shared" si="0"/>
        <v>0.4</v>
      </c>
    </row>
    <row r="14" spans="1:7" ht="15" customHeight="1" x14ac:dyDescent="0.25">
      <c r="A14" s="38">
        <v>2026</v>
      </c>
      <c r="B14" s="38" t="s">
        <v>244</v>
      </c>
      <c r="C14" s="38" t="s">
        <v>629</v>
      </c>
      <c r="D14" s="38" t="s">
        <v>232</v>
      </c>
      <c r="E14" s="38">
        <v>400</v>
      </c>
      <c r="F14" s="38">
        <v>153</v>
      </c>
      <c r="G14" s="39">
        <f t="shared" si="0"/>
        <v>0.38250000000000001</v>
      </c>
    </row>
    <row r="15" spans="1:7" ht="15" customHeight="1" x14ac:dyDescent="0.25">
      <c r="A15" s="38">
        <v>2026</v>
      </c>
      <c r="B15" s="38" t="s">
        <v>244</v>
      </c>
      <c r="C15" s="38" t="s">
        <v>629</v>
      </c>
      <c r="D15" s="38" t="s">
        <v>233</v>
      </c>
      <c r="E15" s="38">
        <v>595</v>
      </c>
      <c r="F15" s="38">
        <v>310</v>
      </c>
      <c r="G15" s="39">
        <f t="shared" si="0"/>
        <v>0.52100840336134457</v>
      </c>
    </row>
    <row r="16" spans="1:7" ht="15" customHeight="1" x14ac:dyDescent="0.25">
      <c r="A16" s="38">
        <v>2026</v>
      </c>
      <c r="B16" s="38" t="s">
        <v>244</v>
      </c>
      <c r="C16" s="38" t="s">
        <v>629</v>
      </c>
      <c r="D16" s="38" t="s">
        <v>234</v>
      </c>
      <c r="E16" s="38">
        <v>995</v>
      </c>
      <c r="F16" s="38">
        <v>463</v>
      </c>
      <c r="G16" s="39">
        <f t="shared" si="0"/>
        <v>0.46532663316582917</v>
      </c>
    </row>
    <row r="17" spans="1:7" ht="15" customHeight="1" x14ac:dyDescent="0.25">
      <c r="A17" s="38">
        <v>2026</v>
      </c>
      <c r="B17" s="38" t="s">
        <v>244</v>
      </c>
      <c r="C17" s="38" t="s">
        <v>630</v>
      </c>
      <c r="D17" s="38" t="s">
        <v>232</v>
      </c>
      <c r="E17" s="38">
        <v>1429</v>
      </c>
      <c r="F17" s="38">
        <v>445</v>
      </c>
      <c r="G17" s="39">
        <f t="shared" si="0"/>
        <v>0.311406578026592</v>
      </c>
    </row>
    <row r="18" spans="1:7" ht="15" customHeight="1" x14ac:dyDescent="0.25">
      <c r="A18" s="38">
        <v>2026</v>
      </c>
      <c r="B18" s="38" t="s">
        <v>244</v>
      </c>
      <c r="C18" s="38" t="s">
        <v>630</v>
      </c>
      <c r="D18" s="38" t="s">
        <v>233</v>
      </c>
      <c r="E18" s="38">
        <v>430</v>
      </c>
      <c r="F18" s="38">
        <v>287</v>
      </c>
      <c r="G18" s="39">
        <f t="shared" si="0"/>
        <v>0.66744186046511633</v>
      </c>
    </row>
    <row r="19" spans="1:7" ht="15" customHeight="1" x14ac:dyDescent="0.25">
      <c r="A19" s="38">
        <v>2026</v>
      </c>
      <c r="B19" s="38" t="s">
        <v>244</v>
      </c>
      <c r="C19" s="38" t="s">
        <v>630</v>
      </c>
      <c r="D19" s="38" t="s">
        <v>234</v>
      </c>
      <c r="E19" s="38">
        <v>1859</v>
      </c>
      <c r="F19" s="38">
        <v>732</v>
      </c>
      <c r="G19" s="39">
        <f t="shared" si="0"/>
        <v>0.3937600860677784</v>
      </c>
    </row>
    <row r="20" spans="1:7" ht="15" customHeight="1" x14ac:dyDescent="0.25">
      <c r="A20" s="38">
        <v>2026</v>
      </c>
      <c r="B20" s="38" t="s">
        <v>244</v>
      </c>
      <c r="C20" s="38" t="s">
        <v>427</v>
      </c>
      <c r="D20" s="38" t="s">
        <v>232</v>
      </c>
      <c r="E20" s="38">
        <v>42080</v>
      </c>
      <c r="F20" s="38">
        <v>19153</v>
      </c>
      <c r="G20" s="39">
        <f t="shared" si="0"/>
        <v>0.4551568441064639</v>
      </c>
    </row>
    <row r="21" spans="1:7" ht="15" customHeight="1" x14ac:dyDescent="0.25">
      <c r="A21" s="38">
        <v>2026</v>
      </c>
      <c r="B21" s="38" t="s">
        <v>244</v>
      </c>
      <c r="C21" s="38" t="s">
        <v>427</v>
      </c>
      <c r="D21" s="38" t="s">
        <v>233</v>
      </c>
      <c r="E21" s="38">
        <v>37844</v>
      </c>
      <c r="F21" s="38">
        <v>21778</v>
      </c>
      <c r="G21" s="39">
        <f t="shared" si="0"/>
        <v>0.57546770954444559</v>
      </c>
    </row>
    <row r="22" spans="1:7" ht="15" customHeight="1" x14ac:dyDescent="0.25">
      <c r="A22" s="38">
        <v>2026</v>
      </c>
      <c r="B22" s="38" t="s">
        <v>244</v>
      </c>
      <c r="C22" s="38" t="s">
        <v>427</v>
      </c>
      <c r="D22" s="38" t="s">
        <v>234</v>
      </c>
      <c r="E22" s="38">
        <v>79924</v>
      </c>
      <c r="F22" s="38">
        <v>40931</v>
      </c>
      <c r="G22" s="39">
        <f t="shared" si="0"/>
        <v>0.51212401781692607</v>
      </c>
    </row>
    <row r="23" spans="1:7" ht="15" customHeight="1" x14ac:dyDescent="0.25">
      <c r="A23" s="38">
        <v>2026</v>
      </c>
      <c r="B23" s="38" t="s">
        <v>238</v>
      </c>
      <c r="C23" s="38" t="s">
        <v>52</v>
      </c>
      <c r="D23" s="38" t="s">
        <v>232</v>
      </c>
      <c r="E23" s="38">
        <v>13629</v>
      </c>
      <c r="F23" s="38">
        <v>4055</v>
      </c>
      <c r="G23" s="39">
        <f t="shared" si="0"/>
        <v>0.29752733142563653</v>
      </c>
    </row>
    <row r="24" spans="1:7" ht="15" customHeight="1" x14ac:dyDescent="0.25">
      <c r="A24" s="38">
        <v>2026</v>
      </c>
      <c r="B24" s="38" t="s">
        <v>238</v>
      </c>
      <c r="C24" s="38" t="s">
        <v>52</v>
      </c>
      <c r="D24" s="38" t="s">
        <v>233</v>
      </c>
      <c r="E24" s="38">
        <v>10857</v>
      </c>
      <c r="F24" s="38">
        <v>5809</v>
      </c>
      <c r="G24" s="39">
        <f t="shared" si="0"/>
        <v>0.53504651376991808</v>
      </c>
    </row>
    <row r="25" spans="1:7" ht="15" customHeight="1" x14ac:dyDescent="0.25">
      <c r="A25" s="38">
        <v>2026</v>
      </c>
      <c r="B25" s="38" t="s">
        <v>238</v>
      </c>
      <c r="C25" s="38" t="s">
        <v>52</v>
      </c>
      <c r="D25" s="38" t="s">
        <v>234</v>
      </c>
      <c r="E25" s="38">
        <v>24486</v>
      </c>
      <c r="F25" s="38">
        <v>9864</v>
      </c>
      <c r="G25" s="39">
        <f t="shared" si="0"/>
        <v>0.40284244057828966</v>
      </c>
    </row>
    <row r="26" spans="1:7" ht="15" customHeight="1" x14ac:dyDescent="0.25">
      <c r="A26" s="38">
        <v>2026</v>
      </c>
      <c r="B26" s="38" t="s">
        <v>238</v>
      </c>
      <c r="C26" s="38" t="s">
        <v>62</v>
      </c>
      <c r="D26" s="38" t="s">
        <v>232</v>
      </c>
      <c r="E26" s="38">
        <v>790</v>
      </c>
      <c r="F26" s="38">
        <v>112</v>
      </c>
      <c r="G26" s="39">
        <f t="shared" si="0"/>
        <v>0.14177215189873418</v>
      </c>
    </row>
    <row r="27" spans="1:7" ht="15" customHeight="1" x14ac:dyDescent="0.25">
      <c r="A27" s="38">
        <v>2026</v>
      </c>
      <c r="B27" s="38" t="s">
        <v>238</v>
      </c>
      <c r="C27" s="38" t="s">
        <v>62</v>
      </c>
      <c r="D27" s="38" t="s">
        <v>233</v>
      </c>
      <c r="E27" s="38">
        <v>599</v>
      </c>
      <c r="F27" s="38">
        <v>138</v>
      </c>
      <c r="G27" s="39">
        <f t="shared" si="0"/>
        <v>0.23038397328881469</v>
      </c>
    </row>
    <row r="28" spans="1:7" ht="15" customHeight="1" x14ac:dyDescent="0.25">
      <c r="A28" s="38">
        <v>2026</v>
      </c>
      <c r="B28" s="38" t="s">
        <v>238</v>
      </c>
      <c r="C28" s="38" t="s">
        <v>62</v>
      </c>
      <c r="D28" s="38" t="s">
        <v>234</v>
      </c>
      <c r="E28" s="38">
        <v>1389</v>
      </c>
      <c r="F28" s="38">
        <v>250</v>
      </c>
      <c r="G28" s="39">
        <f t="shared" si="0"/>
        <v>0.17998560115190784</v>
      </c>
    </row>
    <row r="29" spans="1:7" ht="15" customHeight="1" x14ac:dyDescent="0.25">
      <c r="A29" s="38">
        <v>2026</v>
      </c>
      <c r="B29" s="38" t="s">
        <v>238</v>
      </c>
      <c r="C29" s="38" t="s">
        <v>627</v>
      </c>
      <c r="D29" s="38" t="s">
        <v>232</v>
      </c>
      <c r="E29" s="38">
        <v>0</v>
      </c>
      <c r="F29" s="38">
        <v>0</v>
      </c>
      <c r="G29" s="39">
        <f t="shared" si="0"/>
        <v>0</v>
      </c>
    </row>
    <row r="30" spans="1:7" ht="15" customHeight="1" x14ac:dyDescent="0.25">
      <c r="A30" s="38">
        <v>2026</v>
      </c>
      <c r="B30" s="38" t="s">
        <v>238</v>
      </c>
      <c r="C30" s="38" t="s">
        <v>627</v>
      </c>
      <c r="D30" s="38" t="s">
        <v>233</v>
      </c>
      <c r="E30" s="38">
        <v>18</v>
      </c>
      <c r="F30" s="38">
        <v>0</v>
      </c>
      <c r="G30" s="39">
        <f t="shared" si="0"/>
        <v>0</v>
      </c>
    </row>
    <row r="31" spans="1:7" ht="15" customHeight="1" x14ac:dyDescent="0.25">
      <c r="A31" s="38">
        <v>2026</v>
      </c>
      <c r="B31" s="38" t="s">
        <v>238</v>
      </c>
      <c r="C31" s="38" t="s">
        <v>627</v>
      </c>
      <c r="D31" s="38" t="s">
        <v>234</v>
      </c>
      <c r="E31" s="38">
        <v>18</v>
      </c>
      <c r="F31" s="38">
        <v>0</v>
      </c>
      <c r="G31" s="39">
        <f t="shared" si="0"/>
        <v>0</v>
      </c>
    </row>
    <row r="32" spans="1:7" ht="15" customHeight="1" x14ac:dyDescent="0.25">
      <c r="A32" s="38">
        <v>2026</v>
      </c>
      <c r="B32" s="38" t="s">
        <v>238</v>
      </c>
      <c r="C32" s="38" t="s">
        <v>628</v>
      </c>
      <c r="D32" s="38" t="s">
        <v>232</v>
      </c>
      <c r="E32" s="38">
        <v>19</v>
      </c>
      <c r="F32" s="38">
        <v>3</v>
      </c>
      <c r="G32" s="39">
        <f t="shared" si="0"/>
        <v>0.15789473684210525</v>
      </c>
    </row>
    <row r="33" spans="1:7" ht="15" customHeight="1" x14ac:dyDescent="0.25">
      <c r="A33" s="38">
        <v>2026</v>
      </c>
      <c r="B33" s="38" t="s">
        <v>238</v>
      </c>
      <c r="C33" s="38" t="s">
        <v>628</v>
      </c>
      <c r="D33" s="38" t="s">
        <v>233</v>
      </c>
      <c r="E33" s="38">
        <v>0</v>
      </c>
      <c r="F33" s="38">
        <v>0</v>
      </c>
      <c r="G33" s="39">
        <f t="shared" si="0"/>
        <v>0</v>
      </c>
    </row>
    <row r="34" spans="1:7" ht="15" customHeight="1" x14ac:dyDescent="0.25">
      <c r="A34" s="38">
        <v>2026</v>
      </c>
      <c r="B34" s="38" t="s">
        <v>238</v>
      </c>
      <c r="C34" s="38" t="s">
        <v>628</v>
      </c>
      <c r="D34" s="38" t="s">
        <v>234</v>
      </c>
      <c r="E34" s="38">
        <v>19</v>
      </c>
      <c r="F34" s="38">
        <v>3</v>
      </c>
      <c r="G34" s="39">
        <f t="shared" ref="G34:G65" si="1">IF(E34=0,0,F34/E34)</f>
        <v>0.15789473684210525</v>
      </c>
    </row>
    <row r="35" spans="1:7" ht="15" customHeight="1" x14ac:dyDescent="0.25">
      <c r="A35" s="38">
        <v>2026</v>
      </c>
      <c r="B35" s="38" t="s">
        <v>238</v>
      </c>
      <c r="C35" s="38" t="s">
        <v>629</v>
      </c>
      <c r="D35" s="38" t="s">
        <v>232</v>
      </c>
      <c r="E35" s="38">
        <v>17</v>
      </c>
      <c r="F35" s="38">
        <v>1</v>
      </c>
      <c r="G35" s="39">
        <f t="shared" si="1"/>
        <v>5.8823529411764705E-2</v>
      </c>
    </row>
    <row r="36" spans="1:7" ht="15" customHeight="1" x14ac:dyDescent="0.25">
      <c r="A36" s="38">
        <v>2026</v>
      </c>
      <c r="B36" s="38" t="s">
        <v>238</v>
      </c>
      <c r="C36" s="38" t="s">
        <v>629</v>
      </c>
      <c r="D36" s="38" t="s">
        <v>233</v>
      </c>
      <c r="E36" s="38">
        <v>13</v>
      </c>
      <c r="F36" s="38">
        <v>2</v>
      </c>
      <c r="G36" s="39">
        <f t="shared" si="1"/>
        <v>0.15384615384615385</v>
      </c>
    </row>
    <row r="37" spans="1:7" ht="15" customHeight="1" x14ac:dyDescent="0.25">
      <c r="A37" s="38">
        <v>2026</v>
      </c>
      <c r="B37" s="38" t="s">
        <v>238</v>
      </c>
      <c r="C37" s="38" t="s">
        <v>629</v>
      </c>
      <c r="D37" s="38" t="s">
        <v>234</v>
      </c>
      <c r="E37" s="38">
        <v>30</v>
      </c>
      <c r="F37" s="38">
        <v>3</v>
      </c>
      <c r="G37" s="39">
        <f t="shared" si="1"/>
        <v>0.1</v>
      </c>
    </row>
    <row r="38" spans="1:7" ht="15" customHeight="1" x14ac:dyDescent="0.25">
      <c r="A38" s="38">
        <v>2026</v>
      </c>
      <c r="B38" s="38" t="s">
        <v>238</v>
      </c>
      <c r="C38" s="38" t="s">
        <v>630</v>
      </c>
      <c r="D38" s="38" t="s">
        <v>232</v>
      </c>
      <c r="E38" s="38">
        <v>118</v>
      </c>
      <c r="F38" s="38">
        <v>26</v>
      </c>
      <c r="G38" s="39">
        <f t="shared" si="1"/>
        <v>0.22033898305084745</v>
      </c>
    </row>
    <row r="39" spans="1:7" ht="15" customHeight="1" x14ac:dyDescent="0.25">
      <c r="A39" s="38">
        <v>2026</v>
      </c>
      <c r="B39" s="38" t="s">
        <v>238</v>
      </c>
      <c r="C39" s="38" t="s">
        <v>630</v>
      </c>
      <c r="D39" s="38" t="s">
        <v>233</v>
      </c>
      <c r="E39" s="38">
        <v>17</v>
      </c>
      <c r="F39" s="38">
        <v>4</v>
      </c>
      <c r="G39" s="39">
        <f t="shared" si="1"/>
        <v>0.23529411764705882</v>
      </c>
    </row>
    <row r="40" spans="1:7" ht="15" customHeight="1" x14ac:dyDescent="0.25">
      <c r="A40" s="38">
        <v>2026</v>
      </c>
      <c r="B40" s="38" t="s">
        <v>238</v>
      </c>
      <c r="C40" s="38" t="s">
        <v>630</v>
      </c>
      <c r="D40" s="38" t="s">
        <v>234</v>
      </c>
      <c r="E40" s="38">
        <v>135</v>
      </c>
      <c r="F40" s="38">
        <v>30</v>
      </c>
      <c r="G40" s="39">
        <f t="shared" si="1"/>
        <v>0.22222222222222221</v>
      </c>
    </row>
    <row r="41" spans="1:7" ht="15" customHeight="1" x14ac:dyDescent="0.25">
      <c r="A41" s="38">
        <v>2026</v>
      </c>
      <c r="B41" s="38" t="s">
        <v>238</v>
      </c>
      <c r="C41" s="38" t="s">
        <v>430</v>
      </c>
      <c r="D41" s="38" t="s">
        <v>232</v>
      </c>
      <c r="E41" s="38">
        <v>14573</v>
      </c>
      <c r="F41" s="38">
        <v>4197</v>
      </c>
      <c r="G41" s="39">
        <f t="shared" si="1"/>
        <v>0.2879983531187813</v>
      </c>
    </row>
    <row r="42" spans="1:7" ht="15" customHeight="1" x14ac:dyDescent="0.25">
      <c r="A42" s="38">
        <v>2026</v>
      </c>
      <c r="B42" s="38" t="s">
        <v>238</v>
      </c>
      <c r="C42" s="38" t="s">
        <v>430</v>
      </c>
      <c r="D42" s="38" t="s">
        <v>233</v>
      </c>
      <c r="E42" s="38">
        <v>11504</v>
      </c>
      <c r="F42" s="38">
        <v>5953</v>
      </c>
      <c r="G42" s="39">
        <f t="shared" si="1"/>
        <v>0.51747218358831715</v>
      </c>
    </row>
    <row r="43" spans="1:7" ht="15" customHeight="1" x14ac:dyDescent="0.25">
      <c r="A43" s="38">
        <v>2026</v>
      </c>
      <c r="B43" s="38" t="s">
        <v>238</v>
      </c>
      <c r="C43" s="38" t="s">
        <v>430</v>
      </c>
      <c r="D43" s="38" t="s">
        <v>234</v>
      </c>
      <c r="E43" s="38">
        <v>26077</v>
      </c>
      <c r="F43" s="38">
        <v>10150</v>
      </c>
      <c r="G43" s="39">
        <f t="shared" si="1"/>
        <v>0.38923189017141541</v>
      </c>
    </row>
    <row r="44" spans="1:7" ht="15" customHeight="1" x14ac:dyDescent="0.25">
      <c r="A44" s="38">
        <v>2026</v>
      </c>
      <c r="B44" s="38" t="s">
        <v>144</v>
      </c>
      <c r="C44" s="38" t="s">
        <v>246</v>
      </c>
      <c r="D44" s="38" t="s">
        <v>232</v>
      </c>
      <c r="E44" s="38">
        <v>56653</v>
      </c>
      <c r="F44" s="38">
        <v>23350</v>
      </c>
      <c r="G44" s="39">
        <f t="shared" si="1"/>
        <v>0.41215822639577782</v>
      </c>
    </row>
    <row r="45" spans="1:7" ht="15" customHeight="1" x14ac:dyDescent="0.25">
      <c r="A45" s="38">
        <v>2026</v>
      </c>
      <c r="B45" s="38" t="s">
        <v>144</v>
      </c>
      <c r="C45" s="38" t="s">
        <v>246</v>
      </c>
      <c r="D45" s="38" t="s">
        <v>233</v>
      </c>
      <c r="E45" s="38">
        <v>49348</v>
      </c>
      <c r="F45" s="38">
        <v>27731</v>
      </c>
      <c r="G45" s="39">
        <f t="shared" si="1"/>
        <v>0.56194779930290994</v>
      </c>
    </row>
    <row r="46" spans="1:7" ht="15" customHeight="1" x14ac:dyDescent="0.25">
      <c r="A46" s="38">
        <v>2026</v>
      </c>
      <c r="B46" s="38" t="s">
        <v>144</v>
      </c>
      <c r="C46" s="38" t="s">
        <v>246</v>
      </c>
      <c r="D46" s="38" t="s">
        <v>234</v>
      </c>
      <c r="E46" s="38">
        <v>106001</v>
      </c>
      <c r="F46" s="38">
        <v>51081</v>
      </c>
      <c r="G46" s="39">
        <f t="shared" si="1"/>
        <v>0.48189168026716728</v>
      </c>
    </row>
    <row r="47" spans="1:7" ht="15" customHeight="1" x14ac:dyDescent="0.25">
      <c r="A47" s="36">
        <v>2025</v>
      </c>
      <c r="B47" s="36" t="s">
        <v>244</v>
      </c>
      <c r="C47" s="36" t="s">
        <v>52</v>
      </c>
      <c r="D47" s="36" t="s">
        <v>232</v>
      </c>
      <c r="E47" s="36">
        <v>42291</v>
      </c>
      <c r="F47" s="36">
        <v>22951</v>
      </c>
      <c r="G47" s="37">
        <f t="shared" si="1"/>
        <v>0.54269229859781043</v>
      </c>
    </row>
    <row r="48" spans="1:7" ht="15" customHeight="1" x14ac:dyDescent="0.25">
      <c r="A48" s="36">
        <v>2025</v>
      </c>
      <c r="B48" s="36" t="s">
        <v>244</v>
      </c>
      <c r="C48" s="36" t="s">
        <v>52</v>
      </c>
      <c r="D48" s="36" t="s">
        <v>233</v>
      </c>
      <c r="E48" s="36">
        <v>33580</v>
      </c>
      <c r="F48" s="36">
        <v>22612</v>
      </c>
      <c r="G48" s="37">
        <f t="shared" si="1"/>
        <v>0.67337701012507445</v>
      </c>
    </row>
    <row r="49" spans="1:7" ht="15" customHeight="1" x14ac:dyDescent="0.25">
      <c r="A49" s="36">
        <v>2025</v>
      </c>
      <c r="B49" s="36" t="s">
        <v>244</v>
      </c>
      <c r="C49" s="36" t="s">
        <v>52</v>
      </c>
      <c r="D49" s="36" t="s">
        <v>234</v>
      </c>
      <c r="E49" s="36">
        <v>75871</v>
      </c>
      <c r="F49" s="36">
        <v>45563</v>
      </c>
      <c r="G49" s="37">
        <f t="shared" si="1"/>
        <v>0.60053248276680149</v>
      </c>
    </row>
    <row r="50" spans="1:7" ht="15" customHeight="1" x14ac:dyDescent="0.25">
      <c r="A50" s="36">
        <v>2025</v>
      </c>
      <c r="B50" s="36" t="s">
        <v>244</v>
      </c>
      <c r="C50" s="36" t="s">
        <v>62</v>
      </c>
      <c r="D50" s="36" t="s">
        <v>232</v>
      </c>
      <c r="E50" s="36">
        <v>308</v>
      </c>
      <c r="F50" s="36">
        <v>176</v>
      </c>
      <c r="G50" s="37">
        <f t="shared" si="1"/>
        <v>0.5714285714285714</v>
      </c>
    </row>
    <row r="51" spans="1:7" ht="15" customHeight="1" x14ac:dyDescent="0.25">
      <c r="A51" s="36">
        <v>2025</v>
      </c>
      <c r="B51" s="36" t="s">
        <v>244</v>
      </c>
      <c r="C51" s="36" t="s">
        <v>62</v>
      </c>
      <c r="D51" s="36" t="s">
        <v>233</v>
      </c>
      <c r="E51" s="36">
        <v>2939</v>
      </c>
      <c r="F51" s="36">
        <v>1687</v>
      </c>
      <c r="G51" s="37">
        <f t="shared" si="1"/>
        <v>0.57400476352500851</v>
      </c>
    </row>
    <row r="52" spans="1:7" ht="15" customHeight="1" x14ac:dyDescent="0.25">
      <c r="A52" s="36">
        <v>2025</v>
      </c>
      <c r="B52" s="36" t="s">
        <v>244</v>
      </c>
      <c r="C52" s="36" t="s">
        <v>62</v>
      </c>
      <c r="D52" s="36" t="s">
        <v>234</v>
      </c>
      <c r="E52" s="36">
        <v>3247</v>
      </c>
      <c r="F52" s="36">
        <v>1863</v>
      </c>
      <c r="G52" s="37">
        <f t="shared" si="1"/>
        <v>0.57376039421003999</v>
      </c>
    </row>
    <row r="53" spans="1:7" ht="15" customHeight="1" x14ac:dyDescent="0.25">
      <c r="A53" s="36">
        <v>2025</v>
      </c>
      <c r="B53" s="36" t="s">
        <v>244</v>
      </c>
      <c r="C53" s="36" t="s">
        <v>427</v>
      </c>
      <c r="D53" s="36" t="s">
        <v>232</v>
      </c>
      <c r="E53" s="36">
        <v>42599</v>
      </c>
      <c r="F53" s="36">
        <v>23127</v>
      </c>
      <c r="G53" s="37">
        <f t="shared" si="1"/>
        <v>0.54290006807671543</v>
      </c>
    </row>
    <row r="54" spans="1:7" ht="15" customHeight="1" x14ac:dyDescent="0.25">
      <c r="A54" s="36">
        <v>2025</v>
      </c>
      <c r="B54" s="36" t="s">
        <v>244</v>
      </c>
      <c r="C54" s="36" t="s">
        <v>427</v>
      </c>
      <c r="D54" s="36" t="s">
        <v>233</v>
      </c>
      <c r="E54" s="36">
        <v>36519</v>
      </c>
      <c r="F54" s="36">
        <v>24299</v>
      </c>
      <c r="G54" s="37">
        <f t="shared" si="1"/>
        <v>0.66537966537966542</v>
      </c>
    </row>
    <row r="55" spans="1:7" ht="15" customHeight="1" x14ac:dyDescent="0.25">
      <c r="A55" s="36">
        <v>2025</v>
      </c>
      <c r="B55" s="36" t="s">
        <v>244</v>
      </c>
      <c r="C55" s="36" t="s">
        <v>427</v>
      </c>
      <c r="D55" s="36" t="s">
        <v>234</v>
      </c>
      <c r="E55" s="36">
        <v>79118</v>
      </c>
      <c r="F55" s="36">
        <v>47426</v>
      </c>
      <c r="G55" s="37">
        <f t="shared" si="1"/>
        <v>0.59943375717283043</v>
      </c>
    </row>
    <row r="56" spans="1:7" ht="15" customHeight="1" x14ac:dyDescent="0.25">
      <c r="A56" s="36">
        <v>2025</v>
      </c>
      <c r="B56" s="36" t="s">
        <v>238</v>
      </c>
      <c r="C56" s="36" t="s">
        <v>52</v>
      </c>
      <c r="D56" s="36" t="s">
        <v>232</v>
      </c>
      <c r="E56" s="36">
        <v>14467</v>
      </c>
      <c r="F56" s="36">
        <v>6071</v>
      </c>
      <c r="G56" s="37">
        <f t="shared" si="1"/>
        <v>0.41964470864726622</v>
      </c>
    </row>
    <row r="57" spans="1:7" ht="15" customHeight="1" x14ac:dyDescent="0.25">
      <c r="A57" s="36">
        <v>2025</v>
      </c>
      <c r="B57" s="36" t="s">
        <v>238</v>
      </c>
      <c r="C57" s="36" t="s">
        <v>52</v>
      </c>
      <c r="D57" s="36" t="s">
        <v>233</v>
      </c>
      <c r="E57" s="36">
        <v>11021</v>
      </c>
      <c r="F57" s="36">
        <v>6699</v>
      </c>
      <c r="G57" s="37">
        <f t="shared" si="1"/>
        <v>0.60783957898557295</v>
      </c>
    </row>
    <row r="58" spans="1:7" ht="15" customHeight="1" x14ac:dyDescent="0.25">
      <c r="A58" s="36">
        <v>2025</v>
      </c>
      <c r="B58" s="36" t="s">
        <v>238</v>
      </c>
      <c r="C58" s="36" t="s">
        <v>52</v>
      </c>
      <c r="D58" s="36" t="s">
        <v>234</v>
      </c>
      <c r="E58" s="36">
        <v>25488</v>
      </c>
      <c r="F58" s="36">
        <v>12770</v>
      </c>
      <c r="G58" s="37">
        <f t="shared" si="1"/>
        <v>0.5010200878844947</v>
      </c>
    </row>
    <row r="59" spans="1:7" ht="15" customHeight="1" x14ac:dyDescent="0.25">
      <c r="A59" s="36">
        <v>2025</v>
      </c>
      <c r="B59" s="36" t="s">
        <v>238</v>
      </c>
      <c r="C59" s="36" t="s">
        <v>62</v>
      </c>
      <c r="D59" s="36" t="s">
        <v>232</v>
      </c>
      <c r="E59" s="36">
        <v>669</v>
      </c>
      <c r="F59" s="36">
        <v>228</v>
      </c>
      <c r="G59" s="37">
        <f t="shared" si="1"/>
        <v>0.34080717488789236</v>
      </c>
    </row>
    <row r="60" spans="1:7" ht="15" customHeight="1" x14ac:dyDescent="0.25">
      <c r="A60" s="36">
        <v>2025</v>
      </c>
      <c r="B60" s="36" t="s">
        <v>238</v>
      </c>
      <c r="C60" s="36" t="s">
        <v>62</v>
      </c>
      <c r="D60" s="36" t="s">
        <v>233</v>
      </c>
      <c r="E60" s="36">
        <v>579</v>
      </c>
      <c r="F60" s="36">
        <v>274</v>
      </c>
      <c r="G60" s="37">
        <f t="shared" si="1"/>
        <v>0.47322970639032813</v>
      </c>
    </row>
    <row r="61" spans="1:7" ht="15" customHeight="1" x14ac:dyDescent="0.25">
      <c r="A61" s="36">
        <v>2025</v>
      </c>
      <c r="B61" s="36" t="s">
        <v>238</v>
      </c>
      <c r="C61" s="36" t="s">
        <v>62</v>
      </c>
      <c r="D61" s="36" t="s">
        <v>234</v>
      </c>
      <c r="E61" s="36">
        <v>1248</v>
      </c>
      <c r="F61" s="36">
        <v>502</v>
      </c>
      <c r="G61" s="37">
        <f t="shared" si="1"/>
        <v>0.40224358974358976</v>
      </c>
    </row>
    <row r="62" spans="1:7" ht="15" customHeight="1" x14ac:dyDescent="0.25">
      <c r="A62" s="36">
        <v>2025</v>
      </c>
      <c r="B62" s="36" t="s">
        <v>238</v>
      </c>
      <c r="C62" s="36" t="s">
        <v>430</v>
      </c>
      <c r="D62" s="36" t="s">
        <v>232</v>
      </c>
      <c r="E62" s="36">
        <v>15136</v>
      </c>
      <c r="F62" s="36">
        <v>6299</v>
      </c>
      <c r="G62" s="37">
        <f t="shared" si="1"/>
        <v>0.41616014799154333</v>
      </c>
    </row>
    <row r="63" spans="1:7" ht="15" customHeight="1" x14ac:dyDescent="0.25">
      <c r="A63" s="36">
        <v>2025</v>
      </c>
      <c r="B63" s="36" t="s">
        <v>238</v>
      </c>
      <c r="C63" s="36" t="s">
        <v>430</v>
      </c>
      <c r="D63" s="36" t="s">
        <v>233</v>
      </c>
      <c r="E63" s="36">
        <v>11600</v>
      </c>
      <c r="F63" s="36">
        <v>6973</v>
      </c>
      <c r="G63" s="37">
        <f t="shared" si="1"/>
        <v>0.6011206896551724</v>
      </c>
    </row>
    <row r="64" spans="1:7" ht="15" customHeight="1" x14ac:dyDescent="0.25">
      <c r="A64" s="36">
        <v>2025</v>
      </c>
      <c r="B64" s="36" t="s">
        <v>238</v>
      </c>
      <c r="C64" s="36" t="s">
        <v>430</v>
      </c>
      <c r="D64" s="36" t="s">
        <v>234</v>
      </c>
      <c r="E64" s="36">
        <v>26736</v>
      </c>
      <c r="F64" s="36">
        <v>13272</v>
      </c>
      <c r="G64" s="37">
        <f t="shared" si="1"/>
        <v>0.49640933572710949</v>
      </c>
    </row>
    <row r="65" spans="1:7" ht="15" customHeight="1" x14ac:dyDescent="0.25">
      <c r="A65" s="36">
        <v>2025</v>
      </c>
      <c r="B65" s="36" t="s">
        <v>144</v>
      </c>
      <c r="C65" s="36" t="s">
        <v>246</v>
      </c>
      <c r="D65" s="36" t="s">
        <v>232</v>
      </c>
      <c r="E65" s="36">
        <v>57735</v>
      </c>
      <c r="F65" s="36">
        <v>29426</v>
      </c>
      <c r="G65" s="37">
        <f t="shared" si="1"/>
        <v>0.50967350827054647</v>
      </c>
    </row>
    <row r="66" spans="1:7" ht="15" customHeight="1" x14ac:dyDescent="0.25">
      <c r="A66" s="36">
        <v>2025</v>
      </c>
      <c r="B66" s="36" t="s">
        <v>144</v>
      </c>
      <c r="C66" s="36" t="s">
        <v>246</v>
      </c>
      <c r="D66" s="36" t="s">
        <v>233</v>
      </c>
      <c r="E66" s="36">
        <v>48119</v>
      </c>
      <c r="F66" s="36">
        <v>31272</v>
      </c>
      <c r="G66" s="37">
        <f t="shared" ref="G66:G97" si="2">IF(E66=0,0,F66/E66)</f>
        <v>0.6498888173070928</v>
      </c>
    </row>
    <row r="67" spans="1:7" ht="15" customHeight="1" x14ac:dyDescent="0.25">
      <c r="A67" s="36">
        <v>2025</v>
      </c>
      <c r="B67" s="36" t="s">
        <v>144</v>
      </c>
      <c r="C67" s="36" t="s">
        <v>246</v>
      </c>
      <c r="D67" s="36" t="s">
        <v>234</v>
      </c>
      <c r="E67" s="36">
        <v>105854</v>
      </c>
      <c r="F67" s="36">
        <v>60698</v>
      </c>
      <c r="G67" s="37">
        <f t="shared" si="2"/>
        <v>0.57341243599675029</v>
      </c>
    </row>
  </sheetData>
  <autoFilter ref="A1:G67" xr:uid="{00000000-0009-0000-0000-000033000000}"/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2" customWidth="1"/>
    <col min="3" max="3" width="10" customWidth="1"/>
    <col min="4" max="4" width="12" customWidth="1"/>
  </cols>
  <sheetData>
    <row r="1" spans="1:6" ht="15" customHeight="1" x14ac:dyDescent="0.25">
      <c r="A1" s="35" t="s">
        <v>121</v>
      </c>
      <c r="B1" s="35" t="s">
        <v>130</v>
      </c>
      <c r="C1" s="35" t="s">
        <v>229</v>
      </c>
      <c r="D1" s="35" t="s">
        <v>122</v>
      </c>
      <c r="E1" s="35" t="s">
        <v>123</v>
      </c>
      <c r="F1" s="35" t="s">
        <v>132</v>
      </c>
    </row>
    <row r="2" spans="1:6" ht="15" customHeight="1" x14ac:dyDescent="0.25">
      <c r="A2" s="38">
        <v>2026</v>
      </c>
      <c r="B2" s="38" t="s">
        <v>198</v>
      </c>
      <c r="C2" s="38" t="s">
        <v>232</v>
      </c>
      <c r="D2" s="38">
        <v>55490</v>
      </c>
      <c r="E2" s="38">
        <v>23139</v>
      </c>
      <c r="F2" s="39">
        <f t="shared" ref="F2:F9" si="0">E2/D2</f>
        <v>0.41699405298251935</v>
      </c>
    </row>
    <row r="3" spans="1:6" ht="15" customHeight="1" x14ac:dyDescent="0.25">
      <c r="A3" s="38">
        <v>2026</v>
      </c>
      <c r="B3" s="38" t="s">
        <v>198</v>
      </c>
      <c r="C3" s="38" t="s">
        <v>233</v>
      </c>
      <c r="D3" s="38">
        <v>45607</v>
      </c>
      <c r="E3" s="38">
        <v>26797</v>
      </c>
      <c r="F3" s="39">
        <f t="shared" si="0"/>
        <v>0.587563312649374</v>
      </c>
    </row>
    <row r="4" spans="1:6" ht="15" customHeight="1" x14ac:dyDescent="0.25">
      <c r="A4" s="38">
        <v>2026</v>
      </c>
      <c r="B4" s="38" t="s">
        <v>309</v>
      </c>
      <c r="C4" s="38" t="s">
        <v>232</v>
      </c>
      <c r="D4" s="38">
        <v>1163</v>
      </c>
      <c r="E4" s="38">
        <v>211</v>
      </c>
      <c r="F4" s="39">
        <f t="shared" si="0"/>
        <v>0.18142734307824593</v>
      </c>
    </row>
    <row r="5" spans="1:6" ht="15" customHeight="1" x14ac:dyDescent="0.25">
      <c r="A5" s="38">
        <v>2026</v>
      </c>
      <c r="B5" s="38" t="s">
        <v>309</v>
      </c>
      <c r="C5" s="38" t="s">
        <v>233</v>
      </c>
      <c r="D5" s="38">
        <v>3741</v>
      </c>
      <c r="E5" s="38">
        <v>934</v>
      </c>
      <c r="F5" s="39">
        <f t="shared" si="0"/>
        <v>0.24966586474204758</v>
      </c>
    </row>
    <row r="6" spans="1:6" ht="15" customHeight="1" x14ac:dyDescent="0.25">
      <c r="A6" s="36">
        <v>2025</v>
      </c>
      <c r="B6" s="36" t="s">
        <v>198</v>
      </c>
      <c r="C6" s="36" t="s">
        <v>232</v>
      </c>
      <c r="D6" s="36">
        <v>56758</v>
      </c>
      <c r="E6" s="36">
        <v>29022</v>
      </c>
      <c r="F6" s="37">
        <f t="shared" si="0"/>
        <v>0.51132879946439269</v>
      </c>
    </row>
    <row r="7" spans="1:6" ht="15" customHeight="1" x14ac:dyDescent="0.25">
      <c r="A7" s="36">
        <v>2025</v>
      </c>
      <c r="B7" s="36" t="s">
        <v>198</v>
      </c>
      <c r="C7" s="36" t="s">
        <v>233</v>
      </c>
      <c r="D7" s="36">
        <v>44601</v>
      </c>
      <c r="E7" s="36">
        <v>29311</v>
      </c>
      <c r="F7" s="37">
        <f t="shared" si="0"/>
        <v>0.65718257438174033</v>
      </c>
    </row>
    <row r="8" spans="1:6" ht="15" customHeight="1" x14ac:dyDescent="0.25">
      <c r="A8" s="36">
        <v>2025</v>
      </c>
      <c r="B8" s="36" t="s">
        <v>309</v>
      </c>
      <c r="C8" s="36" t="s">
        <v>232</v>
      </c>
      <c r="D8" s="36">
        <v>977</v>
      </c>
      <c r="E8" s="36">
        <v>404</v>
      </c>
      <c r="F8" s="37">
        <f t="shared" si="0"/>
        <v>0.41351074718526099</v>
      </c>
    </row>
    <row r="9" spans="1:6" ht="15" customHeight="1" x14ac:dyDescent="0.25">
      <c r="A9" s="36">
        <v>2025</v>
      </c>
      <c r="B9" s="36" t="s">
        <v>309</v>
      </c>
      <c r="C9" s="36" t="s">
        <v>233</v>
      </c>
      <c r="D9" s="36">
        <v>3518</v>
      </c>
      <c r="E9" s="36">
        <v>1961</v>
      </c>
      <c r="F9" s="37">
        <f t="shared" si="0"/>
        <v>0.55741898806139856</v>
      </c>
    </row>
  </sheetData>
  <autoFilter ref="A1:F9" xr:uid="{00000000-0009-0000-0000-000034000000}"/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2" customWidth="1"/>
  </cols>
  <sheetData>
    <row r="1" spans="1:5" ht="15" customHeight="1" x14ac:dyDescent="0.25">
      <c r="A1" s="35" t="s">
        <v>121</v>
      </c>
      <c r="B1" s="35" t="s">
        <v>229</v>
      </c>
      <c r="C1" s="35" t="s">
        <v>122</v>
      </c>
      <c r="D1" s="35" t="s">
        <v>123</v>
      </c>
      <c r="E1" s="35" t="s">
        <v>132</v>
      </c>
    </row>
    <row r="2" spans="1:5" ht="15" customHeight="1" x14ac:dyDescent="0.25">
      <c r="A2" s="38">
        <v>2026</v>
      </c>
      <c r="B2" s="38" t="s">
        <v>232</v>
      </c>
      <c r="C2" s="38">
        <v>56653</v>
      </c>
      <c r="D2" s="38">
        <v>23350</v>
      </c>
      <c r="E2" s="39">
        <f>D2/C2</f>
        <v>0.41215822639577782</v>
      </c>
    </row>
    <row r="3" spans="1:5" ht="15" customHeight="1" x14ac:dyDescent="0.25">
      <c r="A3" s="38">
        <v>2026</v>
      </c>
      <c r="B3" s="38" t="s">
        <v>233</v>
      </c>
      <c r="C3" s="38">
        <v>49348</v>
      </c>
      <c r="D3" s="38">
        <v>27731</v>
      </c>
      <c r="E3" s="39">
        <f>D3/C3</f>
        <v>0.56194779930290994</v>
      </c>
    </row>
    <row r="4" spans="1:5" ht="15" customHeight="1" x14ac:dyDescent="0.25">
      <c r="A4" s="36">
        <v>2025</v>
      </c>
      <c r="B4" s="36" t="s">
        <v>232</v>
      </c>
      <c r="C4" s="36">
        <v>57735</v>
      </c>
      <c r="D4" s="36">
        <v>29426</v>
      </c>
      <c r="E4" s="37">
        <f>D4/C4</f>
        <v>0.50967350827054647</v>
      </c>
    </row>
    <row r="5" spans="1:5" ht="15" customHeight="1" x14ac:dyDescent="0.25">
      <c r="A5" s="36">
        <v>2025</v>
      </c>
      <c r="B5" s="36" t="s">
        <v>233</v>
      </c>
      <c r="C5" s="36">
        <v>48119</v>
      </c>
      <c r="D5" s="36">
        <v>31272</v>
      </c>
      <c r="E5" s="37">
        <f>D5/C5</f>
        <v>0.6498888173070928</v>
      </c>
    </row>
  </sheetData>
  <autoFilter ref="A1:E5" xr:uid="{00000000-0009-0000-0000-000035000000}"/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20" customWidth="1"/>
    <col min="3" max="3" width="12" customWidth="1"/>
  </cols>
  <sheetData>
    <row r="1" spans="1:5" ht="15" customHeight="1" x14ac:dyDescent="0.25">
      <c r="A1" s="35" t="s">
        <v>121</v>
      </c>
      <c r="B1" s="35" t="s">
        <v>247</v>
      </c>
      <c r="C1" s="35" t="s">
        <v>122</v>
      </c>
      <c r="D1" s="35" t="s">
        <v>123</v>
      </c>
      <c r="E1" s="35" t="s">
        <v>132</v>
      </c>
    </row>
    <row r="2" spans="1:5" ht="15" customHeight="1" x14ac:dyDescent="0.25">
      <c r="A2" s="38">
        <v>2026</v>
      </c>
      <c r="B2" s="38" t="s">
        <v>631</v>
      </c>
      <c r="C2" s="38">
        <v>27076</v>
      </c>
      <c r="D2" s="38">
        <v>15161</v>
      </c>
      <c r="E2" s="39">
        <f t="shared" ref="E2:E13" si="0">D2/C2</f>
        <v>0.5599423843994682</v>
      </c>
    </row>
    <row r="3" spans="1:5" ht="15" customHeight="1" x14ac:dyDescent="0.25">
      <c r="A3" s="38">
        <v>2026</v>
      </c>
      <c r="B3" s="38" t="s">
        <v>632</v>
      </c>
      <c r="C3" s="38">
        <v>8356</v>
      </c>
      <c r="D3" s="38">
        <v>4485</v>
      </c>
      <c r="E3" s="39">
        <f t="shared" si="0"/>
        <v>0.53674006701771182</v>
      </c>
    </row>
    <row r="4" spans="1:5" ht="15" customHeight="1" x14ac:dyDescent="0.25">
      <c r="A4" s="38">
        <v>2026</v>
      </c>
      <c r="B4" s="38" t="s">
        <v>633</v>
      </c>
      <c r="C4" s="38">
        <v>15394</v>
      </c>
      <c r="D4" s="38">
        <v>7742</v>
      </c>
      <c r="E4" s="39">
        <f t="shared" si="0"/>
        <v>0.502923216837729</v>
      </c>
    </row>
    <row r="5" spans="1:5" ht="15" customHeight="1" x14ac:dyDescent="0.25">
      <c r="A5" s="38">
        <v>2026</v>
      </c>
      <c r="B5" s="38" t="s">
        <v>634</v>
      </c>
      <c r="C5" s="38">
        <v>24884</v>
      </c>
      <c r="D5" s="38">
        <v>12097</v>
      </c>
      <c r="E5" s="39">
        <f t="shared" si="0"/>
        <v>0.48613566950651022</v>
      </c>
    </row>
    <row r="6" spans="1:5" ht="15" customHeight="1" x14ac:dyDescent="0.25">
      <c r="A6" s="38">
        <v>2026</v>
      </c>
      <c r="B6" s="38" t="s">
        <v>635</v>
      </c>
      <c r="C6" s="38">
        <v>17021</v>
      </c>
      <c r="D6" s="38">
        <v>6942</v>
      </c>
      <c r="E6" s="39">
        <f t="shared" si="0"/>
        <v>0.40784912754832264</v>
      </c>
    </row>
    <row r="7" spans="1:5" ht="15" customHeight="1" x14ac:dyDescent="0.25">
      <c r="A7" s="38">
        <v>2026</v>
      </c>
      <c r="B7" s="38" t="s">
        <v>636</v>
      </c>
      <c r="C7" s="38">
        <v>13270</v>
      </c>
      <c r="D7" s="38">
        <v>4654</v>
      </c>
      <c r="E7" s="39">
        <f t="shared" si="0"/>
        <v>0.35071590052750568</v>
      </c>
    </row>
    <row r="8" spans="1:5" ht="15" customHeight="1" x14ac:dyDescent="0.25">
      <c r="A8" s="36">
        <v>2025</v>
      </c>
      <c r="B8" s="36" t="s">
        <v>631</v>
      </c>
      <c r="C8" s="36">
        <v>26412</v>
      </c>
      <c r="D8" s="36">
        <v>17132</v>
      </c>
      <c r="E8" s="37">
        <f t="shared" si="0"/>
        <v>0.64864455550507349</v>
      </c>
    </row>
    <row r="9" spans="1:5" ht="15" customHeight="1" x14ac:dyDescent="0.25">
      <c r="A9" s="36">
        <v>2025</v>
      </c>
      <c r="B9" s="36" t="s">
        <v>633</v>
      </c>
      <c r="C9" s="36">
        <v>15522</v>
      </c>
      <c r="D9" s="36">
        <v>10031</v>
      </c>
      <c r="E9" s="37">
        <f t="shared" si="0"/>
        <v>0.64624404071640251</v>
      </c>
    </row>
    <row r="10" spans="1:5" ht="15" customHeight="1" x14ac:dyDescent="0.25">
      <c r="A10" s="36">
        <v>2025</v>
      </c>
      <c r="B10" s="36" t="s">
        <v>632</v>
      </c>
      <c r="C10" s="36">
        <v>8439</v>
      </c>
      <c r="D10" s="36">
        <v>4684</v>
      </c>
      <c r="E10" s="37">
        <f t="shared" si="0"/>
        <v>0.55504206659556821</v>
      </c>
    </row>
    <row r="11" spans="1:5" ht="15" customHeight="1" x14ac:dyDescent="0.25">
      <c r="A11" s="36">
        <v>2025</v>
      </c>
      <c r="B11" s="36" t="s">
        <v>634</v>
      </c>
      <c r="C11" s="36">
        <v>24984</v>
      </c>
      <c r="D11" s="36">
        <v>13819</v>
      </c>
      <c r="E11" s="37">
        <f t="shared" si="0"/>
        <v>0.55311399295549146</v>
      </c>
    </row>
    <row r="12" spans="1:5" ht="15" customHeight="1" x14ac:dyDescent="0.25">
      <c r="A12" s="36">
        <v>2025</v>
      </c>
      <c r="B12" s="36" t="s">
        <v>636</v>
      </c>
      <c r="C12" s="36">
        <v>13791</v>
      </c>
      <c r="D12" s="36">
        <v>6943</v>
      </c>
      <c r="E12" s="37">
        <f t="shared" si="0"/>
        <v>0.50344427525197588</v>
      </c>
    </row>
    <row r="13" spans="1:5" ht="15" customHeight="1" x14ac:dyDescent="0.25">
      <c r="A13" s="36">
        <v>2025</v>
      </c>
      <c r="B13" s="36" t="s">
        <v>635</v>
      </c>
      <c r="C13" s="36">
        <v>16706</v>
      </c>
      <c r="D13" s="36">
        <v>8089</v>
      </c>
      <c r="E13" s="37">
        <f t="shared" si="0"/>
        <v>0.48419729438525083</v>
      </c>
    </row>
  </sheetData>
  <autoFilter ref="A1:E13" xr:uid="{00000000-0009-0000-0000-000036000000}"/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3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0" customWidth="1"/>
    <col min="3" max="3" width="30" customWidth="1"/>
    <col min="4" max="4" width="10" customWidth="1"/>
    <col min="5" max="5" width="12" customWidth="1"/>
    <col min="8" max="8" width="8" customWidth="1"/>
    <col min="14" max="14" width="10" customWidth="1"/>
  </cols>
  <sheetData>
    <row r="1" spans="1:14" ht="26.25" customHeight="1" x14ac:dyDescent="0.25">
      <c r="A1" s="35" t="s">
        <v>121</v>
      </c>
      <c r="B1" s="35" t="s">
        <v>130</v>
      </c>
      <c r="C1" s="35" t="s">
        <v>131</v>
      </c>
      <c r="D1" s="35" t="s">
        <v>229</v>
      </c>
      <c r="E1" s="35" t="s">
        <v>122</v>
      </c>
      <c r="F1" s="35" t="s">
        <v>123</v>
      </c>
      <c r="G1" s="35" t="s">
        <v>132</v>
      </c>
      <c r="H1" s="35" t="s">
        <v>230</v>
      </c>
      <c r="I1" s="35" t="s">
        <v>134</v>
      </c>
      <c r="J1" s="35" t="s">
        <v>135</v>
      </c>
      <c r="K1" s="35" t="s">
        <v>136</v>
      </c>
      <c r="L1" s="35" t="s">
        <v>137</v>
      </c>
      <c r="M1" s="35" t="s">
        <v>138</v>
      </c>
      <c r="N1" s="35" t="s">
        <v>637</v>
      </c>
    </row>
    <row r="2" spans="1:14" ht="15" customHeight="1" x14ac:dyDescent="0.25">
      <c r="A2" s="38">
        <v>2026</v>
      </c>
      <c r="B2" s="38" t="s">
        <v>198</v>
      </c>
      <c r="C2" s="38" t="s">
        <v>638</v>
      </c>
      <c r="D2" s="38" t="s">
        <v>232</v>
      </c>
      <c r="E2" s="38">
        <v>27008</v>
      </c>
      <c r="F2" s="38">
        <v>10876</v>
      </c>
      <c r="G2" s="39">
        <f t="shared" ref="G2:G37" si="0">F2/E2</f>
        <v>0.40269549763033174</v>
      </c>
      <c r="H2" s="38">
        <v>2397</v>
      </c>
      <c r="I2" s="38">
        <v>2794</v>
      </c>
      <c r="J2" s="38">
        <v>3357</v>
      </c>
      <c r="K2" s="38">
        <v>1996</v>
      </c>
      <c r="L2" s="38">
        <v>327</v>
      </c>
      <c r="M2" s="38">
        <v>5</v>
      </c>
      <c r="N2" s="38">
        <v>0</v>
      </c>
    </row>
    <row r="3" spans="1:14" ht="15" customHeight="1" x14ac:dyDescent="0.25">
      <c r="A3" s="38">
        <v>2026</v>
      </c>
      <c r="B3" s="38" t="s">
        <v>198</v>
      </c>
      <c r="C3" s="38" t="s">
        <v>638</v>
      </c>
      <c r="D3" s="38" t="s">
        <v>233</v>
      </c>
      <c r="E3" s="38">
        <v>21887</v>
      </c>
      <c r="F3" s="38">
        <v>11890</v>
      </c>
      <c r="G3" s="39">
        <f t="shared" si="0"/>
        <v>0.54324484854022936</v>
      </c>
      <c r="H3" s="38">
        <v>4024</v>
      </c>
      <c r="I3" s="38">
        <v>3467</v>
      </c>
      <c r="J3" s="38">
        <v>3185</v>
      </c>
      <c r="K3" s="38">
        <v>1124</v>
      </c>
      <c r="L3" s="38">
        <v>90</v>
      </c>
      <c r="M3" s="38">
        <v>0</v>
      </c>
      <c r="N3" s="38">
        <v>0</v>
      </c>
    </row>
    <row r="4" spans="1:14" ht="15" customHeight="1" x14ac:dyDescent="0.25">
      <c r="A4" s="38">
        <v>2026</v>
      </c>
      <c r="B4" s="38" t="s">
        <v>198</v>
      </c>
      <c r="C4" s="38" t="s">
        <v>639</v>
      </c>
      <c r="D4" s="38" t="s">
        <v>232</v>
      </c>
      <c r="E4" s="38">
        <v>14699</v>
      </c>
      <c r="F4" s="38">
        <v>8178</v>
      </c>
      <c r="G4" s="39">
        <f t="shared" si="0"/>
        <v>0.55636437852915166</v>
      </c>
      <c r="H4" s="38">
        <v>2889</v>
      </c>
      <c r="I4" s="38">
        <v>2183</v>
      </c>
      <c r="J4" s="38">
        <v>2053</v>
      </c>
      <c r="K4" s="38">
        <v>935</v>
      </c>
      <c r="L4" s="38">
        <v>117</v>
      </c>
      <c r="M4" s="38">
        <v>1</v>
      </c>
      <c r="N4" s="38">
        <v>0</v>
      </c>
    </row>
    <row r="5" spans="1:14" ht="15" customHeight="1" x14ac:dyDescent="0.25">
      <c r="A5" s="38">
        <v>2026</v>
      </c>
      <c r="B5" s="38" t="s">
        <v>198</v>
      </c>
      <c r="C5" s="38" t="s">
        <v>639</v>
      </c>
      <c r="D5" s="38" t="s">
        <v>233</v>
      </c>
      <c r="E5" s="38">
        <v>12815</v>
      </c>
      <c r="F5" s="38">
        <v>9092</v>
      </c>
      <c r="G5" s="39">
        <f t="shared" si="0"/>
        <v>0.70948107686305106</v>
      </c>
      <c r="H5" s="38">
        <v>4151</v>
      </c>
      <c r="I5" s="38">
        <v>2459</v>
      </c>
      <c r="J5" s="38">
        <v>1803</v>
      </c>
      <c r="K5" s="38">
        <v>621</v>
      </c>
      <c r="L5" s="38">
        <v>57</v>
      </c>
      <c r="M5" s="38">
        <v>1</v>
      </c>
      <c r="N5" s="38">
        <v>0</v>
      </c>
    </row>
    <row r="6" spans="1:14" ht="15" customHeight="1" x14ac:dyDescent="0.25">
      <c r="A6" s="38">
        <v>2026</v>
      </c>
      <c r="B6" s="38" t="s">
        <v>198</v>
      </c>
      <c r="C6" s="38" t="s">
        <v>238</v>
      </c>
      <c r="D6" s="38" t="s">
        <v>232</v>
      </c>
      <c r="E6" s="38">
        <v>13783</v>
      </c>
      <c r="F6" s="38">
        <v>4085</v>
      </c>
      <c r="G6" s="39">
        <f t="shared" si="0"/>
        <v>0.29637959805557573</v>
      </c>
      <c r="H6" s="38">
        <v>695</v>
      </c>
      <c r="I6" s="38">
        <v>992</v>
      </c>
      <c r="J6" s="38">
        <v>1384</v>
      </c>
      <c r="K6" s="38">
        <v>823</v>
      </c>
      <c r="L6" s="38">
        <v>190</v>
      </c>
      <c r="M6" s="38">
        <v>1</v>
      </c>
      <c r="N6" s="38">
        <v>0</v>
      </c>
    </row>
    <row r="7" spans="1:14" ht="15" customHeight="1" x14ac:dyDescent="0.25">
      <c r="A7" s="38">
        <v>2026</v>
      </c>
      <c r="B7" s="38" t="s">
        <v>198</v>
      </c>
      <c r="C7" s="38" t="s">
        <v>238</v>
      </c>
      <c r="D7" s="38" t="s">
        <v>233</v>
      </c>
      <c r="E7" s="38">
        <v>10905</v>
      </c>
      <c r="F7" s="38">
        <v>5815</v>
      </c>
      <c r="G7" s="39">
        <f t="shared" si="0"/>
        <v>0.53324163227877119</v>
      </c>
      <c r="H7" s="38">
        <v>1458</v>
      </c>
      <c r="I7" s="38">
        <v>1728</v>
      </c>
      <c r="J7" s="38">
        <v>1822</v>
      </c>
      <c r="K7" s="38">
        <v>725</v>
      </c>
      <c r="L7" s="38">
        <v>82</v>
      </c>
      <c r="M7" s="38">
        <v>0</v>
      </c>
      <c r="N7" s="38">
        <v>0</v>
      </c>
    </row>
    <row r="8" spans="1:14" ht="15" customHeight="1" x14ac:dyDescent="0.25">
      <c r="A8" s="38">
        <v>2026</v>
      </c>
      <c r="B8" s="38" t="s">
        <v>198</v>
      </c>
      <c r="C8" s="38" t="s">
        <v>143</v>
      </c>
      <c r="D8" s="38" t="s">
        <v>232</v>
      </c>
      <c r="E8" s="38">
        <v>55490</v>
      </c>
      <c r="F8" s="38">
        <v>23139</v>
      </c>
      <c r="G8" s="39">
        <f t="shared" si="0"/>
        <v>0.41699405298251935</v>
      </c>
      <c r="H8" s="38">
        <v>5981</v>
      </c>
      <c r="I8" s="38">
        <v>5969</v>
      </c>
      <c r="J8" s="38">
        <v>6794</v>
      </c>
      <c r="K8" s="38">
        <v>3754</v>
      </c>
      <c r="L8" s="38">
        <v>634</v>
      </c>
      <c r="M8" s="38">
        <v>7</v>
      </c>
      <c r="N8" s="38">
        <v>0</v>
      </c>
    </row>
    <row r="9" spans="1:14" ht="15" customHeight="1" x14ac:dyDescent="0.25">
      <c r="A9" s="38">
        <v>2026</v>
      </c>
      <c r="B9" s="38" t="s">
        <v>198</v>
      </c>
      <c r="C9" s="38" t="s">
        <v>143</v>
      </c>
      <c r="D9" s="38" t="s">
        <v>233</v>
      </c>
      <c r="E9" s="38">
        <v>45607</v>
      </c>
      <c r="F9" s="38">
        <v>26797</v>
      </c>
      <c r="G9" s="39">
        <f t="shared" si="0"/>
        <v>0.587563312649374</v>
      </c>
      <c r="H9" s="38">
        <v>9633</v>
      </c>
      <c r="I9" s="38">
        <v>7654</v>
      </c>
      <c r="J9" s="38">
        <v>6810</v>
      </c>
      <c r="K9" s="38">
        <v>2470</v>
      </c>
      <c r="L9" s="38">
        <v>229</v>
      </c>
      <c r="M9" s="38">
        <v>1</v>
      </c>
      <c r="N9" s="38">
        <v>0</v>
      </c>
    </row>
    <row r="10" spans="1:14" ht="15" customHeight="1" x14ac:dyDescent="0.25">
      <c r="A10" s="38">
        <v>2026</v>
      </c>
      <c r="B10" s="38" t="s">
        <v>309</v>
      </c>
      <c r="C10" s="38" t="s">
        <v>638</v>
      </c>
      <c r="D10" s="38" t="s">
        <v>232</v>
      </c>
      <c r="E10" s="38">
        <v>243</v>
      </c>
      <c r="F10" s="38">
        <v>53</v>
      </c>
      <c r="G10" s="39">
        <f t="shared" si="0"/>
        <v>0.21810699588477367</v>
      </c>
      <c r="H10" s="38">
        <v>6</v>
      </c>
      <c r="I10" s="38">
        <v>22</v>
      </c>
      <c r="J10" s="38">
        <v>17</v>
      </c>
      <c r="K10" s="38">
        <v>8</v>
      </c>
      <c r="L10" s="38">
        <v>0</v>
      </c>
      <c r="M10" s="38">
        <v>0</v>
      </c>
      <c r="N10" s="38">
        <v>0</v>
      </c>
    </row>
    <row r="11" spans="1:14" ht="15" customHeight="1" x14ac:dyDescent="0.25">
      <c r="A11" s="38">
        <v>2026</v>
      </c>
      <c r="B11" s="38" t="s">
        <v>309</v>
      </c>
      <c r="C11" s="38" t="s">
        <v>638</v>
      </c>
      <c r="D11" s="38" t="s">
        <v>233</v>
      </c>
      <c r="E11" s="38">
        <v>2919</v>
      </c>
      <c r="F11" s="38">
        <v>656</v>
      </c>
      <c r="G11" s="39">
        <f t="shared" si="0"/>
        <v>0.22473449811579307</v>
      </c>
      <c r="H11" s="38">
        <v>35</v>
      </c>
      <c r="I11" s="38">
        <v>195</v>
      </c>
      <c r="J11" s="38">
        <v>252</v>
      </c>
      <c r="K11" s="38">
        <v>153</v>
      </c>
      <c r="L11" s="38">
        <v>20</v>
      </c>
      <c r="M11" s="38">
        <v>1</v>
      </c>
      <c r="N11" s="38">
        <v>0</v>
      </c>
    </row>
    <row r="12" spans="1:14" ht="15" customHeight="1" x14ac:dyDescent="0.25">
      <c r="A12" s="38">
        <v>2026</v>
      </c>
      <c r="B12" s="38" t="s">
        <v>309</v>
      </c>
      <c r="C12" s="38" t="s">
        <v>639</v>
      </c>
      <c r="D12" s="38" t="s">
        <v>232</v>
      </c>
      <c r="E12" s="38">
        <v>130</v>
      </c>
      <c r="F12" s="38">
        <v>46</v>
      </c>
      <c r="G12" s="39">
        <f t="shared" si="0"/>
        <v>0.35384615384615387</v>
      </c>
      <c r="H12" s="38">
        <v>0</v>
      </c>
      <c r="I12" s="38">
        <v>13</v>
      </c>
      <c r="J12" s="38">
        <v>23</v>
      </c>
      <c r="K12" s="38">
        <v>10</v>
      </c>
      <c r="L12" s="38">
        <v>0</v>
      </c>
      <c r="M12" s="38">
        <v>0</v>
      </c>
      <c r="N12" s="38">
        <v>0</v>
      </c>
    </row>
    <row r="13" spans="1:14" ht="15" customHeight="1" x14ac:dyDescent="0.25">
      <c r="A13" s="38">
        <v>2026</v>
      </c>
      <c r="B13" s="38" t="s">
        <v>309</v>
      </c>
      <c r="C13" s="38" t="s">
        <v>639</v>
      </c>
      <c r="D13" s="38" t="s">
        <v>233</v>
      </c>
      <c r="E13" s="38">
        <v>223</v>
      </c>
      <c r="F13" s="38">
        <v>140</v>
      </c>
      <c r="G13" s="39">
        <f t="shared" si="0"/>
        <v>0.62780269058295968</v>
      </c>
      <c r="H13" s="38">
        <v>59</v>
      </c>
      <c r="I13" s="38">
        <v>41</v>
      </c>
      <c r="J13" s="38">
        <v>33</v>
      </c>
      <c r="K13" s="38">
        <v>7</v>
      </c>
      <c r="L13" s="38">
        <v>0</v>
      </c>
      <c r="M13" s="38">
        <v>0</v>
      </c>
      <c r="N13" s="38">
        <v>0</v>
      </c>
    </row>
    <row r="14" spans="1:14" ht="15" customHeight="1" x14ac:dyDescent="0.25">
      <c r="A14" s="38">
        <v>2026</v>
      </c>
      <c r="B14" s="38" t="s">
        <v>309</v>
      </c>
      <c r="C14" s="38" t="s">
        <v>238</v>
      </c>
      <c r="D14" s="38" t="s">
        <v>232</v>
      </c>
      <c r="E14" s="38">
        <v>790</v>
      </c>
      <c r="F14" s="38">
        <v>112</v>
      </c>
      <c r="G14" s="39">
        <f t="shared" si="0"/>
        <v>0.14177215189873418</v>
      </c>
      <c r="H14" s="38">
        <v>6</v>
      </c>
      <c r="I14" s="38">
        <v>20</v>
      </c>
      <c r="J14" s="38">
        <v>45</v>
      </c>
      <c r="K14" s="38">
        <v>35</v>
      </c>
      <c r="L14" s="38">
        <v>6</v>
      </c>
      <c r="M14" s="38">
        <v>0</v>
      </c>
      <c r="N14" s="38">
        <v>0</v>
      </c>
    </row>
    <row r="15" spans="1:14" ht="15" customHeight="1" x14ac:dyDescent="0.25">
      <c r="A15" s="38">
        <v>2026</v>
      </c>
      <c r="B15" s="38" t="s">
        <v>309</v>
      </c>
      <c r="C15" s="38" t="s">
        <v>238</v>
      </c>
      <c r="D15" s="38" t="s">
        <v>233</v>
      </c>
      <c r="E15" s="38">
        <v>599</v>
      </c>
      <c r="F15" s="38">
        <v>138</v>
      </c>
      <c r="G15" s="39">
        <f t="shared" si="0"/>
        <v>0.23038397328881469</v>
      </c>
      <c r="H15" s="38">
        <v>13</v>
      </c>
      <c r="I15" s="38">
        <v>46</v>
      </c>
      <c r="J15" s="38">
        <v>48</v>
      </c>
      <c r="K15" s="38">
        <v>27</v>
      </c>
      <c r="L15" s="38">
        <v>4</v>
      </c>
      <c r="M15" s="38">
        <v>0</v>
      </c>
      <c r="N15" s="38">
        <v>0</v>
      </c>
    </row>
    <row r="16" spans="1:14" ht="15" customHeight="1" x14ac:dyDescent="0.25">
      <c r="A16" s="38">
        <v>2026</v>
      </c>
      <c r="B16" s="38" t="s">
        <v>309</v>
      </c>
      <c r="C16" s="38" t="s">
        <v>143</v>
      </c>
      <c r="D16" s="38" t="s">
        <v>232</v>
      </c>
      <c r="E16" s="38">
        <v>1163</v>
      </c>
      <c r="F16" s="38">
        <v>211</v>
      </c>
      <c r="G16" s="39">
        <f t="shared" si="0"/>
        <v>0.18142734307824593</v>
      </c>
      <c r="H16" s="38">
        <v>12</v>
      </c>
      <c r="I16" s="38">
        <v>55</v>
      </c>
      <c r="J16" s="38">
        <v>85</v>
      </c>
      <c r="K16" s="38">
        <v>53</v>
      </c>
      <c r="L16" s="38">
        <v>6</v>
      </c>
      <c r="M16" s="38">
        <v>0</v>
      </c>
      <c r="N16" s="38">
        <v>0</v>
      </c>
    </row>
    <row r="17" spans="1:14" ht="15" customHeight="1" x14ac:dyDescent="0.25">
      <c r="A17" s="38">
        <v>2026</v>
      </c>
      <c r="B17" s="38" t="s">
        <v>309</v>
      </c>
      <c r="C17" s="38" t="s">
        <v>143</v>
      </c>
      <c r="D17" s="38" t="s">
        <v>233</v>
      </c>
      <c r="E17" s="38">
        <v>3741</v>
      </c>
      <c r="F17" s="38">
        <v>934</v>
      </c>
      <c r="G17" s="39">
        <f t="shared" si="0"/>
        <v>0.24966586474204758</v>
      </c>
      <c r="H17" s="38">
        <v>107</v>
      </c>
      <c r="I17" s="38">
        <v>282</v>
      </c>
      <c r="J17" s="38">
        <v>333</v>
      </c>
      <c r="K17" s="38">
        <v>187</v>
      </c>
      <c r="L17" s="38">
        <v>24</v>
      </c>
      <c r="M17" s="38">
        <v>1</v>
      </c>
      <c r="N17" s="38">
        <v>0</v>
      </c>
    </row>
    <row r="18" spans="1:14" ht="15" customHeight="1" x14ac:dyDescent="0.25">
      <c r="A18" s="38">
        <v>2026</v>
      </c>
      <c r="B18" s="38" t="s">
        <v>144</v>
      </c>
      <c r="C18" s="38" t="s">
        <v>144</v>
      </c>
      <c r="D18" s="38" t="s">
        <v>232</v>
      </c>
      <c r="E18" s="38">
        <v>56653</v>
      </c>
      <c r="F18" s="38">
        <v>23350</v>
      </c>
      <c r="G18" s="39">
        <f t="shared" si="0"/>
        <v>0.41215822639577782</v>
      </c>
      <c r="H18" s="38">
        <v>5993</v>
      </c>
      <c r="I18" s="38">
        <v>6024</v>
      </c>
      <c r="J18" s="38">
        <v>6879</v>
      </c>
      <c r="K18" s="38">
        <v>3807</v>
      </c>
      <c r="L18" s="38">
        <v>640</v>
      </c>
      <c r="M18" s="38">
        <v>7</v>
      </c>
      <c r="N18" s="38">
        <v>0</v>
      </c>
    </row>
    <row r="19" spans="1:14" ht="15" customHeight="1" x14ac:dyDescent="0.25">
      <c r="A19" s="38">
        <v>2026</v>
      </c>
      <c r="B19" s="38" t="s">
        <v>144</v>
      </c>
      <c r="C19" s="38" t="s">
        <v>144</v>
      </c>
      <c r="D19" s="38" t="s">
        <v>233</v>
      </c>
      <c r="E19" s="38">
        <v>49348</v>
      </c>
      <c r="F19" s="38">
        <v>27731</v>
      </c>
      <c r="G19" s="39">
        <f t="shared" si="0"/>
        <v>0.56194779930290994</v>
      </c>
      <c r="H19" s="38">
        <v>9740</v>
      </c>
      <c r="I19" s="38">
        <v>7936</v>
      </c>
      <c r="J19" s="38">
        <v>7143</v>
      </c>
      <c r="K19" s="38">
        <v>2657</v>
      </c>
      <c r="L19" s="38">
        <v>253</v>
      </c>
      <c r="M19" s="38">
        <v>2</v>
      </c>
      <c r="N19" s="38">
        <v>0</v>
      </c>
    </row>
    <row r="20" spans="1:14" ht="15" customHeight="1" x14ac:dyDescent="0.25">
      <c r="A20" s="36">
        <v>2025</v>
      </c>
      <c r="B20" s="36" t="s">
        <v>198</v>
      </c>
      <c r="C20" s="36" t="s">
        <v>638</v>
      </c>
      <c r="D20" s="36" t="s">
        <v>232</v>
      </c>
      <c r="E20" s="36">
        <v>28628</v>
      </c>
      <c r="F20" s="36">
        <v>14358</v>
      </c>
      <c r="G20" s="37">
        <f t="shared" si="0"/>
        <v>0.50153695682548549</v>
      </c>
      <c r="H20" s="36">
        <v>3302</v>
      </c>
      <c r="I20" s="36">
        <v>3282</v>
      </c>
      <c r="J20" s="36">
        <v>4065</v>
      </c>
      <c r="K20" s="36">
        <v>2927</v>
      </c>
      <c r="L20" s="36">
        <v>770</v>
      </c>
      <c r="M20" s="36">
        <v>12</v>
      </c>
      <c r="N20" s="36">
        <v>0</v>
      </c>
    </row>
    <row r="21" spans="1:14" ht="15" customHeight="1" x14ac:dyDescent="0.25">
      <c r="A21" s="36">
        <v>2025</v>
      </c>
      <c r="B21" s="36" t="s">
        <v>198</v>
      </c>
      <c r="C21" s="36" t="s">
        <v>638</v>
      </c>
      <c r="D21" s="36" t="s">
        <v>233</v>
      </c>
      <c r="E21" s="36">
        <v>22054</v>
      </c>
      <c r="F21" s="36">
        <v>14011</v>
      </c>
      <c r="G21" s="37">
        <f t="shared" si="0"/>
        <v>0.63530425319669903</v>
      </c>
      <c r="H21" s="36">
        <v>4312</v>
      </c>
      <c r="I21" s="36">
        <v>3821</v>
      </c>
      <c r="J21" s="36">
        <v>3658</v>
      </c>
      <c r="K21" s="36">
        <v>1903</v>
      </c>
      <c r="L21" s="36">
        <v>314</v>
      </c>
      <c r="M21" s="36">
        <v>3</v>
      </c>
      <c r="N21" s="36">
        <v>0</v>
      </c>
    </row>
    <row r="22" spans="1:14" ht="15" customHeight="1" x14ac:dyDescent="0.25">
      <c r="A22" s="36">
        <v>2025</v>
      </c>
      <c r="B22" s="36" t="s">
        <v>198</v>
      </c>
      <c r="C22" s="36" t="s">
        <v>639</v>
      </c>
      <c r="D22" s="36" t="s">
        <v>232</v>
      </c>
      <c r="E22" s="36">
        <v>13663</v>
      </c>
      <c r="F22" s="36">
        <v>8593</v>
      </c>
      <c r="G22" s="37">
        <f t="shared" si="0"/>
        <v>0.62892483349191242</v>
      </c>
      <c r="H22" s="36">
        <v>2924</v>
      </c>
      <c r="I22" s="36">
        <v>2058</v>
      </c>
      <c r="J22" s="36">
        <v>2147</v>
      </c>
      <c r="K22" s="36">
        <v>1199</v>
      </c>
      <c r="L22" s="36">
        <v>260</v>
      </c>
      <c r="M22" s="36">
        <v>5</v>
      </c>
      <c r="N22" s="36">
        <v>0</v>
      </c>
    </row>
    <row r="23" spans="1:14" ht="15" customHeight="1" x14ac:dyDescent="0.25">
      <c r="A23" s="36">
        <v>2025</v>
      </c>
      <c r="B23" s="36" t="s">
        <v>198</v>
      </c>
      <c r="C23" s="36" t="s">
        <v>639</v>
      </c>
      <c r="D23" s="36" t="s">
        <v>233</v>
      </c>
      <c r="E23" s="36">
        <v>11526</v>
      </c>
      <c r="F23" s="36">
        <v>8601</v>
      </c>
      <c r="G23" s="37">
        <f t="shared" si="0"/>
        <v>0.74622592399791776</v>
      </c>
      <c r="H23" s="36">
        <v>3835</v>
      </c>
      <c r="I23" s="36">
        <v>2230</v>
      </c>
      <c r="J23" s="36">
        <v>1752</v>
      </c>
      <c r="K23" s="36">
        <v>695</v>
      </c>
      <c r="L23" s="36">
        <v>89</v>
      </c>
      <c r="M23" s="36">
        <v>0</v>
      </c>
      <c r="N23" s="36">
        <v>0</v>
      </c>
    </row>
    <row r="24" spans="1:14" ht="15" customHeight="1" x14ac:dyDescent="0.25">
      <c r="A24" s="36">
        <v>2025</v>
      </c>
      <c r="B24" s="36" t="s">
        <v>198</v>
      </c>
      <c r="C24" s="36" t="s">
        <v>238</v>
      </c>
      <c r="D24" s="36" t="s">
        <v>232</v>
      </c>
      <c r="E24" s="36">
        <v>14467</v>
      </c>
      <c r="F24" s="36">
        <v>6071</v>
      </c>
      <c r="G24" s="37">
        <f t="shared" si="0"/>
        <v>0.41964470864726622</v>
      </c>
      <c r="H24" s="36">
        <v>1061</v>
      </c>
      <c r="I24" s="36">
        <v>1363</v>
      </c>
      <c r="J24" s="36">
        <v>1826</v>
      </c>
      <c r="K24" s="36">
        <v>1441</v>
      </c>
      <c r="L24" s="36">
        <v>375</v>
      </c>
      <c r="M24" s="36">
        <v>5</v>
      </c>
      <c r="N24" s="36">
        <v>0</v>
      </c>
    </row>
    <row r="25" spans="1:14" ht="15" customHeight="1" x14ac:dyDescent="0.25">
      <c r="A25" s="36">
        <v>2025</v>
      </c>
      <c r="B25" s="36" t="s">
        <v>198</v>
      </c>
      <c r="C25" s="36" t="s">
        <v>238</v>
      </c>
      <c r="D25" s="36" t="s">
        <v>233</v>
      </c>
      <c r="E25" s="36">
        <v>11021</v>
      </c>
      <c r="F25" s="36">
        <v>6699</v>
      </c>
      <c r="G25" s="37">
        <f t="shared" si="0"/>
        <v>0.60783957898557295</v>
      </c>
      <c r="H25" s="36">
        <v>1833</v>
      </c>
      <c r="I25" s="36">
        <v>1939</v>
      </c>
      <c r="J25" s="36">
        <v>1813</v>
      </c>
      <c r="K25" s="36">
        <v>955</v>
      </c>
      <c r="L25" s="36">
        <v>156</v>
      </c>
      <c r="M25" s="36">
        <v>3</v>
      </c>
      <c r="N25" s="36">
        <v>0</v>
      </c>
    </row>
    <row r="26" spans="1:14" ht="15" customHeight="1" x14ac:dyDescent="0.25">
      <c r="A26" s="36">
        <v>2025</v>
      </c>
      <c r="B26" s="36" t="s">
        <v>198</v>
      </c>
      <c r="C26" s="36" t="s">
        <v>143</v>
      </c>
      <c r="D26" s="36" t="s">
        <v>232</v>
      </c>
      <c r="E26" s="36">
        <v>56758</v>
      </c>
      <c r="F26" s="36">
        <v>29022</v>
      </c>
      <c r="G26" s="37">
        <f t="shared" si="0"/>
        <v>0.51132879946439269</v>
      </c>
      <c r="H26" s="36">
        <v>7287</v>
      </c>
      <c r="I26" s="36">
        <v>6703</v>
      </c>
      <c r="J26" s="36">
        <v>8038</v>
      </c>
      <c r="K26" s="36">
        <v>5567</v>
      </c>
      <c r="L26" s="36">
        <v>1405</v>
      </c>
      <c r="M26" s="36">
        <v>22</v>
      </c>
      <c r="N26" s="36">
        <v>0</v>
      </c>
    </row>
    <row r="27" spans="1:14" ht="15" customHeight="1" x14ac:dyDescent="0.25">
      <c r="A27" s="36">
        <v>2025</v>
      </c>
      <c r="B27" s="36" t="s">
        <v>198</v>
      </c>
      <c r="C27" s="36" t="s">
        <v>143</v>
      </c>
      <c r="D27" s="36" t="s">
        <v>233</v>
      </c>
      <c r="E27" s="36">
        <v>44601</v>
      </c>
      <c r="F27" s="36">
        <v>29311</v>
      </c>
      <c r="G27" s="37">
        <f t="shared" si="0"/>
        <v>0.65718257438174033</v>
      </c>
      <c r="H27" s="36">
        <v>9980</v>
      </c>
      <c r="I27" s="36">
        <v>7990</v>
      </c>
      <c r="J27" s="36">
        <v>7223</v>
      </c>
      <c r="K27" s="36">
        <v>3553</v>
      </c>
      <c r="L27" s="36">
        <v>559</v>
      </c>
      <c r="M27" s="36">
        <v>6</v>
      </c>
      <c r="N27" s="36">
        <v>0</v>
      </c>
    </row>
    <row r="28" spans="1:14" ht="15" customHeight="1" x14ac:dyDescent="0.25">
      <c r="A28" s="36">
        <v>2025</v>
      </c>
      <c r="B28" s="36" t="s">
        <v>309</v>
      </c>
      <c r="C28" s="36" t="s">
        <v>638</v>
      </c>
      <c r="D28" s="36" t="s">
        <v>232</v>
      </c>
      <c r="E28" s="36">
        <v>228</v>
      </c>
      <c r="F28" s="36">
        <v>120</v>
      </c>
      <c r="G28" s="37">
        <f t="shared" si="0"/>
        <v>0.52631578947368418</v>
      </c>
      <c r="H28" s="36">
        <v>35</v>
      </c>
      <c r="I28" s="36">
        <v>8</v>
      </c>
      <c r="J28" s="36">
        <v>28</v>
      </c>
      <c r="K28" s="36">
        <v>30</v>
      </c>
      <c r="L28" s="36">
        <v>19</v>
      </c>
      <c r="M28" s="36">
        <v>0</v>
      </c>
      <c r="N28" s="36">
        <v>0</v>
      </c>
    </row>
    <row r="29" spans="1:14" ht="15" customHeight="1" x14ac:dyDescent="0.25">
      <c r="A29" s="36">
        <v>2025</v>
      </c>
      <c r="B29" s="36" t="s">
        <v>309</v>
      </c>
      <c r="C29" s="36" t="s">
        <v>638</v>
      </c>
      <c r="D29" s="36" t="s">
        <v>233</v>
      </c>
      <c r="E29" s="36">
        <v>2856</v>
      </c>
      <c r="F29" s="36">
        <v>1617</v>
      </c>
      <c r="G29" s="37">
        <f t="shared" si="0"/>
        <v>0.56617647058823528</v>
      </c>
      <c r="H29" s="36">
        <v>118</v>
      </c>
      <c r="I29" s="36">
        <v>300</v>
      </c>
      <c r="J29" s="36">
        <v>516</v>
      </c>
      <c r="K29" s="36">
        <v>506</v>
      </c>
      <c r="L29" s="36">
        <v>170</v>
      </c>
      <c r="M29" s="36">
        <v>7</v>
      </c>
      <c r="N29" s="36">
        <v>0</v>
      </c>
    </row>
    <row r="30" spans="1:14" ht="15" customHeight="1" x14ac:dyDescent="0.25">
      <c r="A30" s="36">
        <v>2025</v>
      </c>
      <c r="B30" s="36" t="s">
        <v>309</v>
      </c>
      <c r="C30" s="36" t="s">
        <v>639</v>
      </c>
      <c r="D30" s="36" t="s">
        <v>232</v>
      </c>
      <c r="E30" s="36">
        <v>80</v>
      </c>
      <c r="F30" s="36">
        <v>56</v>
      </c>
      <c r="G30" s="37">
        <f t="shared" si="0"/>
        <v>0.7</v>
      </c>
      <c r="H30" s="36">
        <v>4</v>
      </c>
      <c r="I30" s="36">
        <v>10</v>
      </c>
      <c r="J30" s="36">
        <v>25</v>
      </c>
      <c r="K30" s="36">
        <v>17</v>
      </c>
      <c r="L30" s="36">
        <v>0</v>
      </c>
      <c r="M30" s="36">
        <v>0</v>
      </c>
      <c r="N30" s="36">
        <v>0</v>
      </c>
    </row>
    <row r="31" spans="1:14" ht="15" customHeight="1" x14ac:dyDescent="0.25">
      <c r="A31" s="36">
        <v>2025</v>
      </c>
      <c r="B31" s="36" t="s">
        <v>309</v>
      </c>
      <c r="C31" s="36" t="s">
        <v>639</v>
      </c>
      <c r="D31" s="36" t="s">
        <v>233</v>
      </c>
      <c r="E31" s="36">
        <v>83</v>
      </c>
      <c r="F31" s="36">
        <v>70</v>
      </c>
      <c r="G31" s="37">
        <f t="shared" si="0"/>
        <v>0.84337349397590367</v>
      </c>
      <c r="H31" s="36">
        <v>7</v>
      </c>
      <c r="I31" s="36">
        <v>30</v>
      </c>
      <c r="J31" s="36">
        <v>20</v>
      </c>
      <c r="K31" s="36">
        <v>9</v>
      </c>
      <c r="L31" s="36">
        <v>4</v>
      </c>
      <c r="M31" s="36">
        <v>0</v>
      </c>
      <c r="N31" s="36">
        <v>0</v>
      </c>
    </row>
    <row r="32" spans="1:14" ht="15" customHeight="1" x14ac:dyDescent="0.25">
      <c r="A32" s="36">
        <v>2025</v>
      </c>
      <c r="B32" s="36" t="s">
        <v>309</v>
      </c>
      <c r="C32" s="36" t="s">
        <v>238</v>
      </c>
      <c r="D32" s="36" t="s">
        <v>232</v>
      </c>
      <c r="E32" s="36">
        <v>669</v>
      </c>
      <c r="F32" s="36">
        <v>228</v>
      </c>
      <c r="G32" s="37">
        <f t="shared" si="0"/>
        <v>0.34080717488789236</v>
      </c>
      <c r="H32" s="36">
        <v>12</v>
      </c>
      <c r="I32" s="36">
        <v>38</v>
      </c>
      <c r="J32" s="36">
        <v>85</v>
      </c>
      <c r="K32" s="36">
        <v>65</v>
      </c>
      <c r="L32" s="36">
        <v>26</v>
      </c>
      <c r="M32" s="36">
        <v>2</v>
      </c>
      <c r="N32" s="36">
        <v>0</v>
      </c>
    </row>
    <row r="33" spans="1:14" ht="15" customHeight="1" x14ac:dyDescent="0.25">
      <c r="A33" s="36">
        <v>2025</v>
      </c>
      <c r="B33" s="36" t="s">
        <v>309</v>
      </c>
      <c r="C33" s="36" t="s">
        <v>238</v>
      </c>
      <c r="D33" s="36" t="s">
        <v>233</v>
      </c>
      <c r="E33" s="36">
        <v>579</v>
      </c>
      <c r="F33" s="36">
        <v>274</v>
      </c>
      <c r="G33" s="37">
        <f t="shared" si="0"/>
        <v>0.47322970639032813</v>
      </c>
      <c r="H33" s="36">
        <v>16</v>
      </c>
      <c r="I33" s="36">
        <v>56</v>
      </c>
      <c r="J33" s="36">
        <v>93</v>
      </c>
      <c r="K33" s="36">
        <v>79</v>
      </c>
      <c r="L33" s="36">
        <v>29</v>
      </c>
      <c r="M33" s="36">
        <v>1</v>
      </c>
      <c r="N33" s="36">
        <v>0</v>
      </c>
    </row>
    <row r="34" spans="1:14" ht="15" customHeight="1" x14ac:dyDescent="0.25">
      <c r="A34" s="36">
        <v>2025</v>
      </c>
      <c r="B34" s="36" t="s">
        <v>309</v>
      </c>
      <c r="C34" s="36" t="s">
        <v>143</v>
      </c>
      <c r="D34" s="36" t="s">
        <v>232</v>
      </c>
      <c r="E34" s="36">
        <v>977</v>
      </c>
      <c r="F34" s="36">
        <v>404</v>
      </c>
      <c r="G34" s="37">
        <f t="shared" si="0"/>
        <v>0.41351074718526099</v>
      </c>
      <c r="H34" s="36">
        <v>51</v>
      </c>
      <c r="I34" s="36">
        <v>56</v>
      </c>
      <c r="J34" s="36">
        <v>138</v>
      </c>
      <c r="K34" s="36">
        <v>112</v>
      </c>
      <c r="L34" s="36">
        <v>45</v>
      </c>
      <c r="M34" s="36">
        <v>2</v>
      </c>
      <c r="N34" s="36">
        <v>0</v>
      </c>
    </row>
    <row r="35" spans="1:14" ht="15" customHeight="1" x14ac:dyDescent="0.25">
      <c r="A35" s="36">
        <v>2025</v>
      </c>
      <c r="B35" s="36" t="s">
        <v>309</v>
      </c>
      <c r="C35" s="36" t="s">
        <v>143</v>
      </c>
      <c r="D35" s="36" t="s">
        <v>233</v>
      </c>
      <c r="E35" s="36">
        <v>3518</v>
      </c>
      <c r="F35" s="36">
        <v>1961</v>
      </c>
      <c r="G35" s="37">
        <f t="shared" si="0"/>
        <v>0.55741898806139856</v>
      </c>
      <c r="H35" s="36">
        <v>141</v>
      </c>
      <c r="I35" s="36">
        <v>386</v>
      </c>
      <c r="J35" s="36">
        <v>629</v>
      </c>
      <c r="K35" s="36">
        <v>594</v>
      </c>
      <c r="L35" s="36">
        <v>203</v>
      </c>
      <c r="M35" s="36">
        <v>8</v>
      </c>
      <c r="N35" s="36">
        <v>0</v>
      </c>
    </row>
    <row r="36" spans="1:14" ht="15" customHeight="1" x14ac:dyDescent="0.25">
      <c r="A36" s="36">
        <v>2025</v>
      </c>
      <c r="B36" s="36" t="s">
        <v>144</v>
      </c>
      <c r="C36" s="36" t="s">
        <v>144</v>
      </c>
      <c r="D36" s="36" t="s">
        <v>232</v>
      </c>
      <c r="E36" s="36">
        <v>57735</v>
      </c>
      <c r="F36" s="36">
        <v>29426</v>
      </c>
      <c r="G36" s="37">
        <f t="shared" si="0"/>
        <v>0.50967350827054647</v>
      </c>
      <c r="H36" s="36">
        <v>7338</v>
      </c>
      <c r="I36" s="36">
        <v>6759</v>
      </c>
      <c r="J36" s="36">
        <v>8176</v>
      </c>
      <c r="K36" s="36">
        <v>5679</v>
      </c>
      <c r="L36" s="36">
        <v>1450</v>
      </c>
      <c r="M36" s="36">
        <v>24</v>
      </c>
      <c r="N36" s="36">
        <v>0</v>
      </c>
    </row>
    <row r="37" spans="1:14" ht="15" customHeight="1" x14ac:dyDescent="0.25">
      <c r="A37" s="36">
        <v>2025</v>
      </c>
      <c r="B37" s="36" t="s">
        <v>144</v>
      </c>
      <c r="C37" s="36" t="s">
        <v>144</v>
      </c>
      <c r="D37" s="36" t="s">
        <v>233</v>
      </c>
      <c r="E37" s="36">
        <v>48119</v>
      </c>
      <c r="F37" s="36">
        <v>31272</v>
      </c>
      <c r="G37" s="37">
        <f t="shared" si="0"/>
        <v>0.6498888173070928</v>
      </c>
      <c r="H37" s="36">
        <v>10121</v>
      </c>
      <c r="I37" s="36">
        <v>8376</v>
      </c>
      <c r="J37" s="36">
        <v>7852</v>
      </c>
      <c r="K37" s="36">
        <v>4147</v>
      </c>
      <c r="L37" s="36">
        <v>762</v>
      </c>
      <c r="M37" s="36">
        <v>14</v>
      </c>
      <c r="N37" s="36">
        <v>0</v>
      </c>
    </row>
  </sheetData>
  <autoFilter ref="A1:N37" xr:uid="{00000000-0009-0000-0000-000037000000}"/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1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42" customWidth="1"/>
    <col min="3" max="3" width="16" customWidth="1"/>
    <col min="4" max="4" width="14" customWidth="1"/>
    <col min="5" max="5" width="12" customWidth="1"/>
    <col min="6" max="6" width="16" customWidth="1"/>
    <col min="7" max="7" width="14" customWidth="1"/>
    <col min="8" max="8" width="12" customWidth="1"/>
  </cols>
  <sheetData>
    <row r="1" spans="1:8" ht="26.25" customHeight="1" x14ac:dyDescent="0.25">
      <c r="A1" s="35" t="s">
        <v>121</v>
      </c>
      <c r="B1" s="35" t="s">
        <v>145</v>
      </c>
      <c r="C1" s="35" t="s">
        <v>457</v>
      </c>
      <c r="D1" s="35" t="s">
        <v>458</v>
      </c>
      <c r="E1" s="35" t="s">
        <v>459</v>
      </c>
      <c r="F1" s="35" t="s">
        <v>460</v>
      </c>
      <c r="G1" s="35" t="s">
        <v>461</v>
      </c>
      <c r="H1" s="35" t="s">
        <v>462</v>
      </c>
    </row>
    <row r="2" spans="1:8" ht="15" customHeight="1" x14ac:dyDescent="0.25">
      <c r="A2" s="36">
        <v>2025</v>
      </c>
      <c r="B2" s="36" t="s">
        <v>640</v>
      </c>
      <c r="C2" s="36">
        <v>2265</v>
      </c>
      <c r="D2" s="36">
        <v>2013</v>
      </c>
      <c r="E2" s="37">
        <f>IF(C2=0,0,D2/C2)</f>
        <v>0.88874172185430467</v>
      </c>
      <c r="F2" s="36">
        <v>873</v>
      </c>
      <c r="G2" s="36">
        <v>726</v>
      </c>
      <c r="H2" s="37">
        <f>IF(F2=0,0,G2/F2)</f>
        <v>0.83161512027491413</v>
      </c>
    </row>
    <row r="3" spans="1:8" ht="15" customHeight="1" x14ac:dyDescent="0.25">
      <c r="A3" s="38">
        <v>2026</v>
      </c>
      <c r="B3" s="38" t="s">
        <v>640</v>
      </c>
      <c r="C3" s="38">
        <v>2462</v>
      </c>
      <c r="D3" s="38">
        <v>2174</v>
      </c>
      <c r="E3" s="39">
        <f>IF(C3=0,0,D3/C3)</f>
        <v>0.8830219333874898</v>
      </c>
      <c r="F3" s="38">
        <v>966</v>
      </c>
      <c r="G3" s="38">
        <v>767</v>
      </c>
      <c r="H3" s="39">
        <f>IF(F3=0,0,G3/F3)</f>
        <v>0.79399585921325055</v>
      </c>
    </row>
    <row r="4" spans="1:8" ht="15" customHeight="1" x14ac:dyDescent="0.25">
      <c r="A4" s="36">
        <v>2025</v>
      </c>
      <c r="B4" s="36" t="s">
        <v>260</v>
      </c>
      <c r="C4" s="36" t="s">
        <v>126</v>
      </c>
      <c r="D4" s="36" t="s">
        <v>126</v>
      </c>
      <c r="E4" s="36" t="s">
        <v>126</v>
      </c>
      <c r="F4" s="36" t="s">
        <v>126</v>
      </c>
      <c r="G4" s="36" t="s">
        <v>126</v>
      </c>
      <c r="H4" s="36" t="s">
        <v>126</v>
      </c>
    </row>
    <row r="5" spans="1:8" ht="15" customHeight="1" x14ac:dyDescent="0.25">
      <c r="A5" s="38">
        <v>2026</v>
      </c>
      <c r="B5" s="38" t="s">
        <v>260</v>
      </c>
      <c r="C5" s="38">
        <v>252</v>
      </c>
      <c r="D5" s="38">
        <v>231</v>
      </c>
      <c r="E5" s="39">
        <f t="shared" ref="E5:E13" si="0">IF(C5=0,0,D5/C5)</f>
        <v>0.91666666666666663</v>
      </c>
      <c r="F5" s="38">
        <v>22</v>
      </c>
      <c r="G5" s="38">
        <v>16</v>
      </c>
      <c r="H5" s="39">
        <f t="shared" ref="H5:H13" si="1">IF(F5=0,0,G5/F5)</f>
        <v>0.72727272727272729</v>
      </c>
    </row>
    <row r="6" spans="1:8" ht="15" customHeight="1" x14ac:dyDescent="0.25">
      <c r="A6" s="36">
        <v>2025</v>
      </c>
      <c r="B6" s="36" t="s">
        <v>641</v>
      </c>
      <c r="C6" s="36">
        <v>151</v>
      </c>
      <c r="D6" s="36">
        <v>106</v>
      </c>
      <c r="E6" s="37">
        <f t="shared" si="0"/>
        <v>0.70198675496688745</v>
      </c>
      <c r="F6" s="36">
        <v>97</v>
      </c>
      <c r="G6" s="36">
        <v>66</v>
      </c>
      <c r="H6" s="37">
        <f t="shared" si="1"/>
        <v>0.68041237113402064</v>
      </c>
    </row>
    <row r="7" spans="1:8" ht="15" customHeight="1" x14ac:dyDescent="0.25">
      <c r="A7" s="38">
        <v>2026</v>
      </c>
      <c r="B7" s="38" t="s">
        <v>641</v>
      </c>
      <c r="C7" s="38">
        <v>178</v>
      </c>
      <c r="D7" s="38">
        <v>147</v>
      </c>
      <c r="E7" s="39">
        <f t="shared" si="0"/>
        <v>0.8258426966292135</v>
      </c>
      <c r="F7" s="38">
        <v>83</v>
      </c>
      <c r="G7" s="38">
        <v>72</v>
      </c>
      <c r="H7" s="39">
        <f t="shared" si="1"/>
        <v>0.86746987951807231</v>
      </c>
    </row>
    <row r="8" spans="1:8" ht="15" customHeight="1" x14ac:dyDescent="0.25">
      <c r="A8" s="36">
        <v>2025</v>
      </c>
      <c r="B8" s="36" t="s">
        <v>205</v>
      </c>
      <c r="C8" s="36">
        <v>1</v>
      </c>
      <c r="D8" s="36">
        <v>1</v>
      </c>
      <c r="E8" s="37">
        <f t="shared" si="0"/>
        <v>1</v>
      </c>
      <c r="F8" s="36">
        <v>344</v>
      </c>
      <c r="G8" s="36">
        <v>320</v>
      </c>
      <c r="H8" s="37">
        <f t="shared" si="1"/>
        <v>0.93023255813953487</v>
      </c>
    </row>
    <row r="9" spans="1:8" ht="15" customHeight="1" x14ac:dyDescent="0.25">
      <c r="A9" s="38">
        <v>2026</v>
      </c>
      <c r="B9" s="38" t="s">
        <v>205</v>
      </c>
      <c r="C9" s="38">
        <v>7</v>
      </c>
      <c r="D9" s="38">
        <v>7</v>
      </c>
      <c r="E9" s="39">
        <f t="shared" si="0"/>
        <v>1</v>
      </c>
      <c r="F9" s="38">
        <v>255</v>
      </c>
      <c r="G9" s="38">
        <v>172</v>
      </c>
      <c r="H9" s="39">
        <f t="shared" si="1"/>
        <v>0.67450980392156867</v>
      </c>
    </row>
    <row r="10" spans="1:8" ht="15" customHeight="1" x14ac:dyDescent="0.25">
      <c r="A10" s="36">
        <v>2025</v>
      </c>
      <c r="B10" s="36" t="s">
        <v>642</v>
      </c>
      <c r="C10" s="36">
        <v>382</v>
      </c>
      <c r="D10" s="36">
        <v>360</v>
      </c>
      <c r="E10" s="37">
        <f t="shared" si="0"/>
        <v>0.94240837696335078</v>
      </c>
      <c r="F10" s="36">
        <v>114</v>
      </c>
      <c r="G10" s="36">
        <v>99</v>
      </c>
      <c r="H10" s="37">
        <f t="shared" si="1"/>
        <v>0.86842105263157898</v>
      </c>
    </row>
    <row r="11" spans="1:8" ht="15" customHeight="1" x14ac:dyDescent="0.25">
      <c r="A11" s="38">
        <v>2026</v>
      </c>
      <c r="B11" s="38" t="s">
        <v>642</v>
      </c>
      <c r="C11" s="38">
        <v>513</v>
      </c>
      <c r="D11" s="38">
        <v>466</v>
      </c>
      <c r="E11" s="39">
        <f t="shared" si="0"/>
        <v>0.90838206627680307</v>
      </c>
      <c r="F11" s="38">
        <v>86</v>
      </c>
      <c r="G11" s="38">
        <v>80</v>
      </c>
      <c r="H11" s="39">
        <f t="shared" si="1"/>
        <v>0.93023255813953487</v>
      </c>
    </row>
    <row r="12" spans="1:8" ht="15" customHeight="1" x14ac:dyDescent="0.25">
      <c r="A12" s="36">
        <v>2025</v>
      </c>
      <c r="B12" s="36" t="s">
        <v>207</v>
      </c>
      <c r="C12" s="36">
        <v>59068</v>
      </c>
      <c r="D12" s="36">
        <v>45636</v>
      </c>
      <c r="E12" s="37">
        <f t="shared" si="0"/>
        <v>0.77260106995327416</v>
      </c>
      <c r="F12" s="36">
        <v>21812</v>
      </c>
      <c r="G12" s="36">
        <v>15393</v>
      </c>
      <c r="H12" s="37">
        <f t="shared" si="1"/>
        <v>0.70571245186136067</v>
      </c>
    </row>
    <row r="13" spans="1:8" ht="15" customHeight="1" x14ac:dyDescent="0.25">
      <c r="A13" s="38">
        <v>2026</v>
      </c>
      <c r="B13" s="38" t="s">
        <v>207</v>
      </c>
      <c r="C13" s="38">
        <v>55618</v>
      </c>
      <c r="D13" s="38">
        <v>43320</v>
      </c>
      <c r="E13" s="39">
        <f t="shared" si="0"/>
        <v>0.77888453378402678</v>
      </c>
      <c r="F13" s="38">
        <v>20427</v>
      </c>
      <c r="G13" s="38">
        <v>14389</v>
      </c>
      <c r="H13" s="39">
        <f t="shared" si="1"/>
        <v>0.70441082880501293</v>
      </c>
    </row>
    <row r="14" spans="1:8" ht="15" customHeight="1" x14ac:dyDescent="0.25">
      <c r="A14" s="36">
        <v>2025</v>
      </c>
      <c r="B14" s="36" t="s">
        <v>263</v>
      </c>
      <c r="C14" s="36" t="s">
        <v>126</v>
      </c>
      <c r="D14" s="36" t="s">
        <v>126</v>
      </c>
      <c r="E14" s="36" t="s">
        <v>126</v>
      </c>
      <c r="F14" s="36" t="s">
        <v>126</v>
      </c>
      <c r="G14" s="36" t="s">
        <v>126</v>
      </c>
      <c r="H14" s="36" t="s">
        <v>126</v>
      </c>
    </row>
    <row r="15" spans="1:8" ht="15" customHeight="1" x14ac:dyDescent="0.25">
      <c r="A15" s="38">
        <v>2026</v>
      </c>
      <c r="B15" s="38" t="s">
        <v>263</v>
      </c>
      <c r="C15" s="38">
        <v>1282</v>
      </c>
      <c r="D15" s="38">
        <v>971</v>
      </c>
      <c r="E15" s="39">
        <f>IF(C15=0,0,D15/C15)</f>
        <v>0.75741029641185642</v>
      </c>
      <c r="F15" s="38">
        <v>53</v>
      </c>
      <c r="G15" s="38">
        <v>21</v>
      </c>
      <c r="H15" s="39">
        <f>IF(F15=0,0,G15/F15)</f>
        <v>0.39622641509433965</v>
      </c>
    </row>
    <row r="16" spans="1:8" ht="15" customHeight="1" x14ac:dyDescent="0.25">
      <c r="A16" s="36">
        <v>2025</v>
      </c>
      <c r="B16" s="36" t="s">
        <v>208</v>
      </c>
      <c r="C16" s="36">
        <v>77525</v>
      </c>
      <c r="D16" s="36">
        <v>59009</v>
      </c>
      <c r="E16" s="37">
        <f>IF(C16=0,0,D16/C16)</f>
        <v>0.76116091583360201</v>
      </c>
      <c r="F16" s="36">
        <v>26131</v>
      </c>
      <c r="G16" s="36">
        <v>18267</v>
      </c>
      <c r="H16" s="37">
        <f>IF(F16=0,0,G16/F16)</f>
        <v>0.69905476254257393</v>
      </c>
    </row>
    <row r="17" spans="1:8" ht="15" customHeight="1" x14ac:dyDescent="0.25">
      <c r="A17" s="38">
        <v>2026</v>
      </c>
      <c r="B17" s="38" t="s">
        <v>208</v>
      </c>
      <c r="C17" s="38">
        <v>72958</v>
      </c>
      <c r="D17" s="38">
        <v>49202</v>
      </c>
      <c r="E17" s="39">
        <f>IF(C17=0,0,D17/C17)</f>
        <v>0.67438800405712873</v>
      </c>
      <c r="F17" s="38">
        <v>24497</v>
      </c>
      <c r="G17" s="38">
        <v>14057</v>
      </c>
      <c r="H17" s="39">
        <f>IF(F17=0,0,G17/F17)</f>
        <v>0.57382536637139236</v>
      </c>
    </row>
    <row r="18" spans="1:8" ht="15" customHeight="1" x14ac:dyDescent="0.25">
      <c r="A18" s="36">
        <v>2025</v>
      </c>
      <c r="B18" s="36" t="s">
        <v>266</v>
      </c>
      <c r="C18" s="36" t="s">
        <v>126</v>
      </c>
      <c r="D18" s="36" t="s">
        <v>126</v>
      </c>
      <c r="E18" s="36" t="s">
        <v>126</v>
      </c>
      <c r="F18" s="36" t="s">
        <v>126</v>
      </c>
      <c r="G18" s="36" t="s">
        <v>126</v>
      </c>
      <c r="H18" s="36" t="s">
        <v>126</v>
      </c>
    </row>
    <row r="19" spans="1:8" ht="15" customHeight="1" x14ac:dyDescent="0.25">
      <c r="A19" s="38">
        <v>2026</v>
      </c>
      <c r="B19" s="38" t="s">
        <v>266</v>
      </c>
      <c r="C19" s="38">
        <v>3197</v>
      </c>
      <c r="D19" s="38">
        <v>2678</v>
      </c>
      <c r="E19" s="39">
        <f>IF(C19=0,0,D19/C19)</f>
        <v>0.83766030653737877</v>
      </c>
      <c r="F19" s="38">
        <v>203</v>
      </c>
      <c r="G19" s="38">
        <v>136</v>
      </c>
      <c r="H19" s="39">
        <f>IF(F19=0,0,G19/F19)</f>
        <v>0.66995073891625612</v>
      </c>
    </row>
    <row r="20" spans="1:8" ht="15" customHeight="1" x14ac:dyDescent="0.25">
      <c r="A20" s="36">
        <v>2025</v>
      </c>
      <c r="B20" s="36" t="s">
        <v>643</v>
      </c>
      <c r="C20" s="36">
        <v>0</v>
      </c>
      <c r="D20" s="36">
        <v>0</v>
      </c>
      <c r="E20" s="37">
        <f>IF(C20=0,0,D20/C20)</f>
        <v>0</v>
      </c>
      <c r="F20" s="36">
        <v>0</v>
      </c>
      <c r="G20" s="36">
        <v>0</v>
      </c>
      <c r="H20" s="37">
        <f>IF(F20=0,0,G20/F20)</f>
        <v>0</v>
      </c>
    </row>
    <row r="21" spans="1:8" ht="15" customHeight="1" x14ac:dyDescent="0.25">
      <c r="A21" s="38">
        <v>2026</v>
      </c>
      <c r="B21" s="38" t="s">
        <v>643</v>
      </c>
      <c r="C21" s="38" t="s">
        <v>126</v>
      </c>
      <c r="D21" s="38" t="s">
        <v>126</v>
      </c>
      <c r="E21" s="38" t="s">
        <v>126</v>
      </c>
      <c r="F21" s="38" t="s">
        <v>126</v>
      </c>
      <c r="G21" s="38" t="s">
        <v>126</v>
      </c>
      <c r="H21" s="38" t="s">
        <v>126</v>
      </c>
    </row>
    <row r="22" spans="1:8" ht="15" customHeight="1" x14ac:dyDescent="0.25">
      <c r="A22" s="36">
        <v>2025</v>
      </c>
      <c r="B22" s="36" t="s">
        <v>209</v>
      </c>
      <c r="C22" s="36">
        <v>98</v>
      </c>
      <c r="D22" s="36">
        <v>88</v>
      </c>
      <c r="E22" s="37">
        <f>IF(C22=0,0,D22/C22)</f>
        <v>0.89795918367346939</v>
      </c>
      <c r="F22" s="36">
        <v>94</v>
      </c>
      <c r="G22" s="36">
        <v>75</v>
      </c>
      <c r="H22" s="37">
        <f>IF(F22=0,0,G22/F22)</f>
        <v>0.7978723404255319</v>
      </c>
    </row>
    <row r="23" spans="1:8" ht="15" customHeight="1" x14ac:dyDescent="0.25">
      <c r="A23" s="38">
        <v>2026</v>
      </c>
      <c r="B23" s="38" t="s">
        <v>209</v>
      </c>
      <c r="C23" s="38">
        <v>118</v>
      </c>
      <c r="D23" s="38">
        <v>101</v>
      </c>
      <c r="E23" s="39">
        <f>IF(C23=0,0,D23/C23)</f>
        <v>0.85593220338983056</v>
      </c>
      <c r="F23" s="38">
        <v>99</v>
      </c>
      <c r="G23" s="38">
        <v>79</v>
      </c>
      <c r="H23" s="39">
        <f>IF(F23=0,0,G23/F23)</f>
        <v>0.79797979797979801</v>
      </c>
    </row>
    <row r="24" spans="1:8" ht="15" customHeight="1" x14ac:dyDescent="0.25">
      <c r="A24" s="36">
        <v>2025</v>
      </c>
      <c r="B24" s="36" t="s">
        <v>644</v>
      </c>
      <c r="C24" s="36">
        <v>0</v>
      </c>
      <c r="D24" s="36">
        <v>0</v>
      </c>
      <c r="E24" s="37">
        <f>IF(C24=0,0,D24/C24)</f>
        <v>0</v>
      </c>
      <c r="F24" s="36">
        <v>0</v>
      </c>
      <c r="G24" s="36">
        <v>0</v>
      </c>
      <c r="H24" s="37">
        <f>IF(F24=0,0,G24/F24)</f>
        <v>0</v>
      </c>
    </row>
    <row r="25" spans="1:8" ht="15" customHeight="1" x14ac:dyDescent="0.25">
      <c r="A25" s="38">
        <v>2026</v>
      </c>
      <c r="B25" s="38" t="s">
        <v>644</v>
      </c>
      <c r="C25" s="38" t="s">
        <v>126</v>
      </c>
      <c r="D25" s="38" t="s">
        <v>126</v>
      </c>
      <c r="E25" s="38" t="s">
        <v>126</v>
      </c>
      <c r="F25" s="38" t="s">
        <v>126</v>
      </c>
      <c r="G25" s="38" t="s">
        <v>126</v>
      </c>
      <c r="H25" s="38" t="s">
        <v>126</v>
      </c>
    </row>
    <row r="26" spans="1:8" ht="15" customHeight="1" x14ac:dyDescent="0.25">
      <c r="A26" s="36">
        <v>2025</v>
      </c>
      <c r="B26" s="36" t="s">
        <v>645</v>
      </c>
      <c r="C26" s="36">
        <v>0</v>
      </c>
      <c r="D26" s="36">
        <v>0</v>
      </c>
      <c r="E26" s="37">
        <f>IF(C26=0,0,D26/C26)</f>
        <v>0</v>
      </c>
      <c r="F26" s="36">
        <v>0</v>
      </c>
      <c r="G26" s="36">
        <v>0</v>
      </c>
      <c r="H26" s="37">
        <f>IF(F26=0,0,G26/F26)</f>
        <v>0</v>
      </c>
    </row>
    <row r="27" spans="1:8" ht="15" customHeight="1" x14ac:dyDescent="0.25">
      <c r="A27" s="38">
        <v>2026</v>
      </c>
      <c r="B27" s="38" t="s">
        <v>645</v>
      </c>
      <c r="C27" s="38" t="s">
        <v>126</v>
      </c>
      <c r="D27" s="38" t="s">
        <v>126</v>
      </c>
      <c r="E27" s="38" t="s">
        <v>126</v>
      </c>
      <c r="F27" s="38" t="s">
        <v>126</v>
      </c>
      <c r="G27" s="38" t="s">
        <v>126</v>
      </c>
      <c r="H27" s="38" t="s">
        <v>126</v>
      </c>
    </row>
    <row r="28" spans="1:8" ht="15" customHeight="1" x14ac:dyDescent="0.25">
      <c r="A28" s="36">
        <v>2025</v>
      </c>
      <c r="B28" s="36" t="s">
        <v>386</v>
      </c>
      <c r="C28" s="36">
        <v>0</v>
      </c>
      <c r="D28" s="36">
        <v>0</v>
      </c>
      <c r="E28" s="37">
        <f>IF(C28=0,0,D28/C28)</f>
        <v>0</v>
      </c>
      <c r="F28" s="36">
        <v>0</v>
      </c>
      <c r="G28" s="36">
        <v>0</v>
      </c>
      <c r="H28" s="37">
        <f>IF(F28=0,0,G28/F28)</f>
        <v>0</v>
      </c>
    </row>
    <row r="29" spans="1:8" ht="15" customHeight="1" x14ac:dyDescent="0.25">
      <c r="A29" s="38">
        <v>2026</v>
      </c>
      <c r="B29" s="38" t="s">
        <v>386</v>
      </c>
      <c r="C29" s="38">
        <v>0</v>
      </c>
      <c r="D29" s="38">
        <v>0</v>
      </c>
      <c r="E29" s="39">
        <f>IF(C29=0,0,D29/C29)</f>
        <v>0</v>
      </c>
      <c r="F29" s="38">
        <v>0</v>
      </c>
      <c r="G29" s="38">
        <v>0</v>
      </c>
      <c r="H29" s="39">
        <f>IF(F29=0,0,G29/F29)</f>
        <v>0</v>
      </c>
    </row>
    <row r="30" spans="1:8" ht="15" customHeight="1" x14ac:dyDescent="0.25">
      <c r="A30" s="36">
        <v>2025</v>
      </c>
      <c r="B30" s="36" t="s">
        <v>646</v>
      </c>
      <c r="C30" s="36" t="s">
        <v>126</v>
      </c>
      <c r="D30" s="36" t="s">
        <v>126</v>
      </c>
      <c r="E30" s="36" t="s">
        <v>126</v>
      </c>
      <c r="F30" s="36" t="s">
        <v>126</v>
      </c>
      <c r="G30" s="36" t="s">
        <v>126</v>
      </c>
      <c r="H30" s="36" t="s">
        <v>126</v>
      </c>
    </row>
    <row r="31" spans="1:8" ht="15" customHeight="1" x14ac:dyDescent="0.25">
      <c r="A31" s="38">
        <v>2026</v>
      </c>
      <c r="B31" s="38" t="s">
        <v>646</v>
      </c>
      <c r="C31" s="38">
        <v>415</v>
      </c>
      <c r="D31" s="38">
        <v>352</v>
      </c>
      <c r="E31" s="39">
        <f>IF(C31=0,0,D31/C31)</f>
        <v>0.84819277108433733</v>
      </c>
      <c r="F31" s="38">
        <v>18</v>
      </c>
      <c r="G31" s="38">
        <v>14</v>
      </c>
      <c r="H31" s="39">
        <f>IF(F31=0,0,G31/F31)</f>
        <v>0.77777777777777779</v>
      </c>
    </row>
    <row r="32" spans="1:8" ht="15" customHeight="1" x14ac:dyDescent="0.25">
      <c r="A32" s="36">
        <v>2025</v>
      </c>
      <c r="B32" s="36" t="s">
        <v>210</v>
      </c>
      <c r="C32" s="36">
        <v>19386</v>
      </c>
      <c r="D32" s="36">
        <v>15947</v>
      </c>
      <c r="E32" s="37">
        <f>IF(C32=0,0,D32/C32)</f>
        <v>0.82260394098834211</v>
      </c>
      <c r="F32" s="36">
        <v>4489</v>
      </c>
      <c r="G32" s="36">
        <v>3203</v>
      </c>
      <c r="H32" s="37">
        <f>IF(F32=0,0,G32/F32)</f>
        <v>0.71352194252617507</v>
      </c>
    </row>
    <row r="33" spans="1:8" ht="15" customHeight="1" x14ac:dyDescent="0.25">
      <c r="A33" s="38">
        <v>2026</v>
      </c>
      <c r="B33" s="38" t="s">
        <v>210</v>
      </c>
      <c r="C33" s="38" t="s">
        <v>126</v>
      </c>
      <c r="D33" s="38" t="s">
        <v>126</v>
      </c>
      <c r="E33" s="38" t="s">
        <v>126</v>
      </c>
      <c r="F33" s="38" t="s">
        <v>126</v>
      </c>
      <c r="G33" s="38" t="s">
        <v>126</v>
      </c>
      <c r="H33" s="38" t="s">
        <v>126</v>
      </c>
    </row>
    <row r="34" spans="1:8" ht="15" customHeight="1" x14ac:dyDescent="0.25">
      <c r="A34" s="36">
        <v>2025</v>
      </c>
      <c r="B34" s="36" t="s">
        <v>647</v>
      </c>
      <c r="C34" s="36" t="s">
        <v>126</v>
      </c>
      <c r="D34" s="36" t="s">
        <v>126</v>
      </c>
      <c r="E34" s="36" t="s">
        <v>126</v>
      </c>
      <c r="F34" s="36" t="s">
        <v>126</v>
      </c>
      <c r="G34" s="36" t="s">
        <v>126</v>
      </c>
      <c r="H34" s="36" t="s">
        <v>126</v>
      </c>
    </row>
    <row r="35" spans="1:8" ht="15" customHeight="1" x14ac:dyDescent="0.25">
      <c r="A35" s="38">
        <v>2026</v>
      </c>
      <c r="B35" s="38" t="s">
        <v>647</v>
      </c>
      <c r="C35" s="38">
        <v>17938</v>
      </c>
      <c r="D35" s="38">
        <v>14226</v>
      </c>
      <c r="E35" s="39">
        <f>IF(C35=0,0,D35/C35)</f>
        <v>0.79306500167242722</v>
      </c>
      <c r="F35" s="38">
        <v>4207</v>
      </c>
      <c r="G35" s="38">
        <v>2694</v>
      </c>
      <c r="H35" s="39">
        <f>IF(F35=0,0,G35/F35)</f>
        <v>0.64036130259091995</v>
      </c>
    </row>
    <row r="36" spans="1:8" ht="15" customHeight="1" x14ac:dyDescent="0.25">
      <c r="A36" s="36">
        <v>2025</v>
      </c>
      <c r="B36" s="36" t="s">
        <v>648</v>
      </c>
      <c r="C36" s="36" t="s">
        <v>126</v>
      </c>
      <c r="D36" s="36" t="s">
        <v>126</v>
      </c>
      <c r="E36" s="36" t="s">
        <v>126</v>
      </c>
      <c r="F36" s="36" t="s">
        <v>126</v>
      </c>
      <c r="G36" s="36" t="s">
        <v>126</v>
      </c>
      <c r="H36" s="36" t="s">
        <v>126</v>
      </c>
    </row>
    <row r="37" spans="1:8" ht="15" customHeight="1" x14ac:dyDescent="0.25">
      <c r="A37" s="38">
        <v>2026</v>
      </c>
      <c r="B37" s="38" t="s">
        <v>648</v>
      </c>
      <c r="C37" s="38">
        <v>2330</v>
      </c>
      <c r="D37" s="38">
        <v>1879</v>
      </c>
      <c r="E37" s="39">
        <f t="shared" ref="E37:E48" si="2">IF(C37=0,0,D37/C37)</f>
        <v>0.8064377682403433</v>
      </c>
      <c r="F37" s="38">
        <v>168</v>
      </c>
      <c r="G37" s="38">
        <v>113</v>
      </c>
      <c r="H37" s="39">
        <f t="shared" ref="H37:H48" si="3">IF(F37=0,0,G37/F37)</f>
        <v>0.67261904761904767</v>
      </c>
    </row>
    <row r="38" spans="1:8" ht="15" customHeight="1" x14ac:dyDescent="0.25">
      <c r="A38" s="36">
        <v>2025</v>
      </c>
      <c r="B38" s="36" t="s">
        <v>211</v>
      </c>
      <c r="C38" s="36">
        <v>31</v>
      </c>
      <c r="D38" s="36">
        <v>24</v>
      </c>
      <c r="E38" s="37">
        <f t="shared" si="2"/>
        <v>0.77419354838709675</v>
      </c>
      <c r="F38" s="36">
        <v>36</v>
      </c>
      <c r="G38" s="36">
        <v>22</v>
      </c>
      <c r="H38" s="37">
        <f t="shared" si="3"/>
        <v>0.61111111111111116</v>
      </c>
    </row>
    <row r="39" spans="1:8" ht="15" customHeight="1" x14ac:dyDescent="0.25">
      <c r="A39" s="38">
        <v>2026</v>
      </c>
      <c r="B39" s="38" t="s">
        <v>211</v>
      </c>
      <c r="C39" s="38">
        <v>2</v>
      </c>
      <c r="D39" s="38">
        <v>0</v>
      </c>
      <c r="E39" s="39">
        <f t="shared" si="2"/>
        <v>0</v>
      </c>
      <c r="F39" s="38">
        <v>29</v>
      </c>
      <c r="G39" s="38">
        <v>14</v>
      </c>
      <c r="H39" s="39">
        <f t="shared" si="3"/>
        <v>0.48275862068965519</v>
      </c>
    </row>
    <row r="40" spans="1:8" ht="15" customHeight="1" x14ac:dyDescent="0.25">
      <c r="A40" s="36">
        <v>2025</v>
      </c>
      <c r="B40" s="36" t="s">
        <v>390</v>
      </c>
      <c r="C40" s="36">
        <v>501</v>
      </c>
      <c r="D40" s="36">
        <v>473</v>
      </c>
      <c r="E40" s="37">
        <f t="shared" si="2"/>
        <v>0.94411177644710575</v>
      </c>
      <c r="F40" s="36">
        <v>424</v>
      </c>
      <c r="G40" s="36">
        <v>351</v>
      </c>
      <c r="H40" s="37">
        <f t="shared" si="3"/>
        <v>0.82783018867924529</v>
      </c>
    </row>
    <row r="41" spans="1:8" ht="15" customHeight="1" x14ac:dyDescent="0.25">
      <c r="A41" s="38">
        <v>2026</v>
      </c>
      <c r="B41" s="38" t="s">
        <v>390</v>
      </c>
      <c r="C41" s="38">
        <v>610</v>
      </c>
      <c r="D41" s="38">
        <v>570</v>
      </c>
      <c r="E41" s="39">
        <f t="shared" si="2"/>
        <v>0.93442622950819676</v>
      </c>
      <c r="F41" s="38">
        <v>610</v>
      </c>
      <c r="G41" s="38">
        <v>490</v>
      </c>
      <c r="H41" s="39">
        <f t="shared" si="3"/>
        <v>0.80327868852459017</v>
      </c>
    </row>
    <row r="42" spans="1:8" ht="15" customHeight="1" x14ac:dyDescent="0.25">
      <c r="A42" s="36">
        <v>2025</v>
      </c>
      <c r="B42" s="36" t="s">
        <v>391</v>
      </c>
      <c r="C42" s="36">
        <v>11</v>
      </c>
      <c r="D42" s="36">
        <v>11</v>
      </c>
      <c r="E42" s="37">
        <f t="shared" si="2"/>
        <v>1</v>
      </c>
      <c r="F42" s="36">
        <v>29</v>
      </c>
      <c r="G42" s="36">
        <v>24</v>
      </c>
      <c r="H42" s="37">
        <f t="shared" si="3"/>
        <v>0.82758620689655171</v>
      </c>
    </row>
    <row r="43" spans="1:8" ht="15" customHeight="1" x14ac:dyDescent="0.25">
      <c r="A43" s="38">
        <v>2026</v>
      </c>
      <c r="B43" s="38" t="s">
        <v>391</v>
      </c>
      <c r="C43" s="38">
        <v>0</v>
      </c>
      <c r="D43" s="38">
        <v>0</v>
      </c>
      <c r="E43" s="39">
        <f t="shared" si="2"/>
        <v>0</v>
      </c>
      <c r="F43" s="38">
        <v>38</v>
      </c>
      <c r="G43" s="38">
        <v>37</v>
      </c>
      <c r="H43" s="39">
        <f t="shared" si="3"/>
        <v>0.97368421052631582</v>
      </c>
    </row>
    <row r="44" spans="1:8" ht="15" customHeight="1" x14ac:dyDescent="0.25">
      <c r="A44" s="36">
        <v>2025</v>
      </c>
      <c r="B44" s="36" t="s">
        <v>392</v>
      </c>
      <c r="C44" s="36">
        <v>1067</v>
      </c>
      <c r="D44" s="36">
        <v>961</v>
      </c>
      <c r="E44" s="37">
        <f t="shared" si="2"/>
        <v>0.90065604498594187</v>
      </c>
      <c r="F44" s="36">
        <v>174</v>
      </c>
      <c r="G44" s="36">
        <v>138</v>
      </c>
      <c r="H44" s="37">
        <f t="shared" si="3"/>
        <v>0.7931034482758621</v>
      </c>
    </row>
    <row r="45" spans="1:8" ht="15" customHeight="1" x14ac:dyDescent="0.25">
      <c r="A45" s="38">
        <v>2026</v>
      </c>
      <c r="B45" s="38" t="s">
        <v>392</v>
      </c>
      <c r="C45" s="38">
        <v>1286</v>
      </c>
      <c r="D45" s="38">
        <v>1070</v>
      </c>
      <c r="E45" s="39">
        <f t="shared" si="2"/>
        <v>0.83203732503888028</v>
      </c>
      <c r="F45" s="38">
        <v>166</v>
      </c>
      <c r="G45" s="38">
        <v>114</v>
      </c>
      <c r="H45" s="39">
        <f t="shared" si="3"/>
        <v>0.68674698795180722</v>
      </c>
    </row>
    <row r="46" spans="1:8" ht="15" customHeight="1" x14ac:dyDescent="0.25">
      <c r="A46" s="36">
        <v>2025</v>
      </c>
      <c r="B46" s="36" t="s">
        <v>212</v>
      </c>
      <c r="C46" s="36">
        <v>80906</v>
      </c>
      <c r="D46" s="36">
        <v>69213</v>
      </c>
      <c r="E46" s="37">
        <f t="shared" si="2"/>
        <v>0.85547425407262745</v>
      </c>
      <c r="F46" s="36">
        <v>27440</v>
      </c>
      <c r="G46" s="36">
        <v>21504</v>
      </c>
      <c r="H46" s="37">
        <f t="shared" si="3"/>
        <v>0.78367346938775506</v>
      </c>
    </row>
    <row r="47" spans="1:8" ht="15" customHeight="1" x14ac:dyDescent="0.25">
      <c r="A47" s="38">
        <v>2026</v>
      </c>
      <c r="B47" s="38" t="s">
        <v>212</v>
      </c>
      <c r="C47" s="38">
        <v>80088</v>
      </c>
      <c r="D47" s="38">
        <v>66812</v>
      </c>
      <c r="E47" s="39">
        <f t="shared" si="2"/>
        <v>0.8342323444211367</v>
      </c>
      <c r="F47" s="38">
        <v>26112</v>
      </c>
      <c r="G47" s="38">
        <v>19305</v>
      </c>
      <c r="H47" s="39">
        <f t="shared" si="3"/>
        <v>0.73931525735294112</v>
      </c>
    </row>
    <row r="48" spans="1:8" ht="15" customHeight="1" x14ac:dyDescent="0.25">
      <c r="A48" s="36">
        <v>2025</v>
      </c>
      <c r="B48" s="36" t="s">
        <v>649</v>
      </c>
      <c r="C48" s="36">
        <v>0</v>
      </c>
      <c r="D48" s="36">
        <v>0</v>
      </c>
      <c r="E48" s="37">
        <f t="shared" si="2"/>
        <v>0</v>
      </c>
      <c r="F48" s="36">
        <v>0</v>
      </c>
      <c r="G48" s="36">
        <v>0</v>
      </c>
      <c r="H48" s="37">
        <f t="shared" si="3"/>
        <v>0</v>
      </c>
    </row>
    <row r="49" spans="1:8" ht="15" customHeight="1" x14ac:dyDescent="0.25">
      <c r="A49" s="38">
        <v>2026</v>
      </c>
      <c r="B49" s="38" t="s">
        <v>649</v>
      </c>
      <c r="C49" s="38" t="s">
        <v>126</v>
      </c>
      <c r="D49" s="38" t="s">
        <v>126</v>
      </c>
      <c r="E49" s="38" t="s">
        <v>126</v>
      </c>
      <c r="F49" s="38" t="s">
        <v>126</v>
      </c>
      <c r="G49" s="38" t="s">
        <v>126</v>
      </c>
      <c r="H49" s="38" t="s">
        <v>126</v>
      </c>
    </row>
    <row r="50" spans="1:8" ht="15" customHeight="1" x14ac:dyDescent="0.25">
      <c r="A50" s="36">
        <v>2025</v>
      </c>
      <c r="B50" s="36" t="s">
        <v>283</v>
      </c>
      <c r="C50" s="36" t="s">
        <v>126</v>
      </c>
      <c r="D50" s="36" t="s">
        <v>126</v>
      </c>
      <c r="E50" s="36" t="s">
        <v>126</v>
      </c>
      <c r="F50" s="36" t="s">
        <v>126</v>
      </c>
      <c r="G50" s="36" t="s">
        <v>126</v>
      </c>
      <c r="H50" s="36" t="s">
        <v>126</v>
      </c>
    </row>
    <row r="51" spans="1:8" ht="15" customHeight="1" x14ac:dyDescent="0.25">
      <c r="A51" s="38">
        <v>2026</v>
      </c>
      <c r="B51" s="38" t="s">
        <v>283</v>
      </c>
      <c r="C51" s="38">
        <v>415</v>
      </c>
      <c r="D51" s="38">
        <v>371</v>
      </c>
      <c r="E51" s="39">
        <f>IF(C51=0,0,D51/C51)</f>
        <v>0.89397590361445778</v>
      </c>
      <c r="F51" s="38">
        <v>18</v>
      </c>
      <c r="G51" s="38">
        <v>12</v>
      </c>
      <c r="H51" s="39">
        <f>IF(F51=0,0,G51/F51)</f>
        <v>0.66666666666666663</v>
      </c>
    </row>
    <row r="52" spans="1:8" ht="15" customHeight="1" x14ac:dyDescent="0.25">
      <c r="A52" s="36">
        <v>2025</v>
      </c>
      <c r="B52" s="36" t="s">
        <v>214</v>
      </c>
      <c r="C52" s="36">
        <v>12</v>
      </c>
      <c r="D52" s="36">
        <v>12</v>
      </c>
      <c r="E52" s="37">
        <f>IF(C52=0,0,D52/C52)</f>
        <v>1</v>
      </c>
      <c r="F52" s="36">
        <v>11</v>
      </c>
      <c r="G52" s="36">
        <v>6</v>
      </c>
      <c r="H52" s="37">
        <f>IF(F52=0,0,G52/F52)</f>
        <v>0.54545454545454541</v>
      </c>
    </row>
    <row r="53" spans="1:8" ht="15" customHeight="1" x14ac:dyDescent="0.25">
      <c r="A53" s="38">
        <v>2026</v>
      </c>
      <c r="B53" s="38" t="s">
        <v>214</v>
      </c>
      <c r="C53" s="38">
        <v>19</v>
      </c>
      <c r="D53" s="38">
        <v>19</v>
      </c>
      <c r="E53" s="39">
        <f>IF(C53=0,0,D53/C53)</f>
        <v>1</v>
      </c>
      <c r="F53" s="38">
        <v>6</v>
      </c>
      <c r="G53" s="38">
        <v>5</v>
      </c>
      <c r="H53" s="39">
        <f>IF(F53=0,0,G53/F53)</f>
        <v>0.83333333333333337</v>
      </c>
    </row>
    <row r="54" spans="1:8" ht="15" customHeight="1" x14ac:dyDescent="0.25">
      <c r="A54" s="36">
        <v>2025</v>
      </c>
      <c r="B54" s="36" t="s">
        <v>650</v>
      </c>
      <c r="C54" s="36">
        <v>3315</v>
      </c>
      <c r="D54" s="36">
        <v>2627</v>
      </c>
      <c r="E54" s="37">
        <f>IF(C54=0,0,D54/C54)</f>
        <v>0.79245852187028654</v>
      </c>
      <c r="F54" s="36">
        <v>1306</v>
      </c>
      <c r="G54" s="36">
        <v>868</v>
      </c>
      <c r="H54" s="37">
        <f>IF(F54=0,0,G54/F54)</f>
        <v>0.66462480857580397</v>
      </c>
    </row>
    <row r="55" spans="1:8" ht="15" customHeight="1" x14ac:dyDescent="0.25">
      <c r="A55" s="38">
        <v>2026</v>
      </c>
      <c r="B55" s="38" t="s">
        <v>650</v>
      </c>
      <c r="C55" s="38" t="s">
        <v>126</v>
      </c>
      <c r="D55" s="38" t="s">
        <v>126</v>
      </c>
      <c r="E55" s="38" t="s">
        <v>126</v>
      </c>
      <c r="F55" s="38" t="s">
        <v>126</v>
      </c>
      <c r="G55" s="38" t="s">
        <v>126</v>
      </c>
      <c r="H55" s="38" t="s">
        <v>126</v>
      </c>
    </row>
    <row r="56" spans="1:8" ht="15" customHeight="1" x14ac:dyDescent="0.25">
      <c r="A56" s="36">
        <v>2025</v>
      </c>
      <c r="B56" s="36" t="s">
        <v>216</v>
      </c>
      <c r="C56" s="36">
        <v>3315</v>
      </c>
      <c r="D56" s="36">
        <v>2550</v>
      </c>
      <c r="E56" s="37">
        <f>IF(C56=0,0,D56/C56)</f>
        <v>0.76923076923076927</v>
      </c>
      <c r="F56" s="36">
        <v>1306</v>
      </c>
      <c r="G56" s="36">
        <v>805</v>
      </c>
      <c r="H56" s="37">
        <f>IF(F56=0,0,G56/F56)</f>
        <v>0.61638591117917307</v>
      </c>
    </row>
    <row r="57" spans="1:8" ht="15" customHeight="1" x14ac:dyDescent="0.25">
      <c r="A57" s="38">
        <v>2026</v>
      </c>
      <c r="B57" s="38" t="s">
        <v>216</v>
      </c>
      <c r="C57" s="38">
        <v>3474</v>
      </c>
      <c r="D57" s="38">
        <v>2725</v>
      </c>
      <c r="E57" s="39">
        <f>IF(C57=0,0,D57/C57)</f>
        <v>0.78439838802533102</v>
      </c>
      <c r="F57" s="38">
        <v>1394</v>
      </c>
      <c r="G57" s="38">
        <v>929</v>
      </c>
      <c r="H57" s="39">
        <f>IF(F57=0,0,G57/F57)</f>
        <v>0.66642754662840742</v>
      </c>
    </row>
    <row r="58" spans="1:8" ht="15" customHeight="1" x14ac:dyDescent="0.25">
      <c r="A58" s="36">
        <v>2025</v>
      </c>
      <c r="B58" s="36" t="s">
        <v>286</v>
      </c>
      <c r="C58" s="36" t="s">
        <v>126</v>
      </c>
      <c r="D58" s="36" t="s">
        <v>126</v>
      </c>
      <c r="E58" s="36" t="s">
        <v>126</v>
      </c>
      <c r="F58" s="36" t="s">
        <v>126</v>
      </c>
      <c r="G58" s="36" t="s">
        <v>126</v>
      </c>
      <c r="H58" s="36" t="s">
        <v>126</v>
      </c>
    </row>
    <row r="59" spans="1:8" ht="15" customHeight="1" x14ac:dyDescent="0.25">
      <c r="A59" s="38">
        <v>2026</v>
      </c>
      <c r="B59" s="38" t="s">
        <v>286</v>
      </c>
      <c r="C59" s="38">
        <v>415</v>
      </c>
      <c r="D59" s="38">
        <v>332</v>
      </c>
      <c r="E59" s="39">
        <f t="shared" ref="E59:E65" si="4">IF(C59=0,0,D59/C59)</f>
        <v>0.8</v>
      </c>
      <c r="F59" s="38">
        <v>18</v>
      </c>
      <c r="G59" s="38">
        <v>14</v>
      </c>
      <c r="H59" s="39">
        <f t="shared" ref="H59:H65" si="5">IF(F59=0,0,G59/F59)</f>
        <v>0.77777777777777779</v>
      </c>
    </row>
    <row r="60" spans="1:8" ht="15" customHeight="1" x14ac:dyDescent="0.25">
      <c r="A60" s="36">
        <v>2025</v>
      </c>
      <c r="B60" s="36" t="s">
        <v>395</v>
      </c>
      <c r="C60" s="36">
        <v>1</v>
      </c>
      <c r="D60" s="36">
        <v>0</v>
      </c>
      <c r="E60" s="37">
        <f t="shared" si="4"/>
        <v>0</v>
      </c>
      <c r="F60" s="36">
        <v>0</v>
      </c>
      <c r="G60" s="36">
        <v>0</v>
      </c>
      <c r="H60" s="37">
        <f t="shared" si="5"/>
        <v>0</v>
      </c>
    </row>
    <row r="61" spans="1:8" ht="15" customHeight="1" x14ac:dyDescent="0.25">
      <c r="A61" s="38">
        <v>2026</v>
      </c>
      <c r="B61" s="38" t="s">
        <v>395</v>
      </c>
      <c r="C61" s="38">
        <v>0</v>
      </c>
      <c r="D61" s="38">
        <v>0</v>
      </c>
      <c r="E61" s="39">
        <f t="shared" si="4"/>
        <v>0</v>
      </c>
      <c r="F61" s="38">
        <v>5</v>
      </c>
      <c r="G61" s="38">
        <v>3</v>
      </c>
      <c r="H61" s="39">
        <f t="shared" si="5"/>
        <v>0.6</v>
      </c>
    </row>
    <row r="62" spans="1:8" ht="15" customHeight="1" x14ac:dyDescent="0.25">
      <c r="A62" s="36">
        <v>2025</v>
      </c>
      <c r="B62" s="36" t="s">
        <v>651</v>
      </c>
      <c r="C62" s="36">
        <v>2</v>
      </c>
      <c r="D62" s="36">
        <v>1</v>
      </c>
      <c r="E62" s="37">
        <f t="shared" si="4"/>
        <v>0.5</v>
      </c>
      <c r="F62" s="36">
        <v>0</v>
      </c>
      <c r="G62" s="36">
        <v>0</v>
      </c>
      <c r="H62" s="37">
        <f t="shared" si="5"/>
        <v>0</v>
      </c>
    </row>
    <row r="63" spans="1:8" ht="15" customHeight="1" x14ac:dyDescent="0.25">
      <c r="A63" s="38">
        <v>2026</v>
      </c>
      <c r="B63" s="38" t="s">
        <v>651</v>
      </c>
      <c r="C63" s="38">
        <v>0</v>
      </c>
      <c r="D63" s="38">
        <v>0</v>
      </c>
      <c r="E63" s="39">
        <f t="shared" si="4"/>
        <v>0</v>
      </c>
      <c r="F63" s="38">
        <v>0</v>
      </c>
      <c r="G63" s="38">
        <v>0</v>
      </c>
      <c r="H63" s="39">
        <f t="shared" si="5"/>
        <v>0</v>
      </c>
    </row>
    <row r="64" spans="1:8" ht="15" customHeight="1" x14ac:dyDescent="0.25">
      <c r="A64" s="36">
        <v>2025</v>
      </c>
      <c r="B64" s="36" t="s">
        <v>218</v>
      </c>
      <c r="C64" s="36">
        <v>1071</v>
      </c>
      <c r="D64" s="36">
        <v>896</v>
      </c>
      <c r="E64" s="37">
        <f t="shared" si="4"/>
        <v>0.83660130718954251</v>
      </c>
      <c r="F64" s="36">
        <v>180</v>
      </c>
      <c r="G64" s="36">
        <v>142</v>
      </c>
      <c r="H64" s="37">
        <f t="shared" si="5"/>
        <v>0.78888888888888886</v>
      </c>
    </row>
    <row r="65" spans="1:8" ht="15" customHeight="1" x14ac:dyDescent="0.25">
      <c r="A65" s="38">
        <v>2026</v>
      </c>
      <c r="B65" s="38" t="s">
        <v>218</v>
      </c>
      <c r="C65" s="38">
        <v>1121</v>
      </c>
      <c r="D65" s="38">
        <v>1024</v>
      </c>
      <c r="E65" s="39">
        <f t="shared" si="4"/>
        <v>0.91347011596788585</v>
      </c>
      <c r="F65" s="38">
        <v>203</v>
      </c>
      <c r="G65" s="38">
        <v>190</v>
      </c>
      <c r="H65" s="39">
        <f t="shared" si="5"/>
        <v>0.93596059113300489</v>
      </c>
    </row>
    <row r="66" spans="1:8" ht="15" customHeight="1" x14ac:dyDescent="0.25">
      <c r="A66" s="36">
        <v>2025</v>
      </c>
      <c r="B66" s="36" t="s">
        <v>289</v>
      </c>
      <c r="C66" s="36" t="s">
        <v>126</v>
      </c>
      <c r="D66" s="36" t="s">
        <v>126</v>
      </c>
      <c r="E66" s="36" t="s">
        <v>126</v>
      </c>
      <c r="F66" s="36" t="s">
        <v>126</v>
      </c>
      <c r="G66" s="36" t="s">
        <v>126</v>
      </c>
      <c r="H66" s="36" t="s">
        <v>126</v>
      </c>
    </row>
    <row r="67" spans="1:8" ht="15" customHeight="1" x14ac:dyDescent="0.25">
      <c r="A67" s="38">
        <v>2026</v>
      </c>
      <c r="B67" s="38" t="s">
        <v>289</v>
      </c>
      <c r="C67" s="38">
        <v>1030</v>
      </c>
      <c r="D67" s="38">
        <v>980</v>
      </c>
      <c r="E67" s="39">
        <f>IF(C67=0,0,D67/C67)</f>
        <v>0.95145631067961167</v>
      </c>
      <c r="F67" s="38">
        <v>31</v>
      </c>
      <c r="G67" s="38">
        <v>22</v>
      </c>
      <c r="H67" s="39">
        <f>IF(F67=0,0,G67/F67)</f>
        <v>0.70967741935483875</v>
      </c>
    </row>
    <row r="68" spans="1:8" ht="15" customHeight="1" x14ac:dyDescent="0.25">
      <c r="A68" s="36">
        <v>2025</v>
      </c>
      <c r="B68" s="36" t="s">
        <v>652</v>
      </c>
      <c r="C68" s="36">
        <v>1</v>
      </c>
      <c r="D68" s="36">
        <v>1</v>
      </c>
      <c r="E68" s="37">
        <f>IF(C68=0,0,D68/C68)</f>
        <v>1</v>
      </c>
      <c r="F68" s="36">
        <v>0</v>
      </c>
      <c r="G68" s="36">
        <v>0</v>
      </c>
      <c r="H68" s="37">
        <f>IF(F68=0,0,G68/F68)</f>
        <v>0</v>
      </c>
    </row>
    <row r="69" spans="1:8" ht="15" customHeight="1" x14ac:dyDescent="0.25">
      <c r="A69" s="38">
        <v>2026</v>
      </c>
      <c r="B69" s="38" t="s">
        <v>652</v>
      </c>
      <c r="C69" s="38">
        <v>1</v>
      </c>
      <c r="D69" s="38">
        <v>1</v>
      </c>
      <c r="E69" s="39">
        <f>IF(C69=0,0,D69/C69)</f>
        <v>1</v>
      </c>
      <c r="F69" s="38">
        <v>0</v>
      </c>
      <c r="G69" s="38">
        <v>0</v>
      </c>
      <c r="H69" s="39">
        <f>IF(F69=0,0,G69/F69)</f>
        <v>0</v>
      </c>
    </row>
    <row r="70" spans="1:8" ht="15" customHeight="1" x14ac:dyDescent="0.25">
      <c r="A70" s="36">
        <v>2025</v>
      </c>
      <c r="B70" s="36" t="s">
        <v>397</v>
      </c>
      <c r="C70" s="36">
        <v>2</v>
      </c>
      <c r="D70" s="36">
        <v>1</v>
      </c>
      <c r="E70" s="37">
        <f>IF(C70=0,0,D70/C70)</f>
        <v>0.5</v>
      </c>
      <c r="F70" s="36">
        <v>16</v>
      </c>
      <c r="G70" s="36">
        <v>8</v>
      </c>
      <c r="H70" s="37">
        <f>IF(F70=0,0,G70/F70)</f>
        <v>0.5</v>
      </c>
    </row>
    <row r="71" spans="1:8" ht="15" customHeight="1" x14ac:dyDescent="0.25">
      <c r="A71" s="38">
        <v>2026</v>
      </c>
      <c r="B71" s="38" t="s">
        <v>397</v>
      </c>
      <c r="C71" s="38">
        <v>0</v>
      </c>
      <c r="D71" s="38">
        <v>0</v>
      </c>
      <c r="E71" s="39">
        <f>IF(C71=0,0,D71/C71)</f>
        <v>0</v>
      </c>
      <c r="F71" s="38">
        <v>8</v>
      </c>
      <c r="G71" s="38">
        <v>4</v>
      </c>
      <c r="H71" s="39">
        <f>IF(F71=0,0,G71/F71)</f>
        <v>0.5</v>
      </c>
    </row>
    <row r="72" spans="1:8" ht="15" customHeight="1" x14ac:dyDescent="0.25">
      <c r="A72" s="36">
        <v>2025</v>
      </c>
      <c r="B72" s="36" t="s">
        <v>291</v>
      </c>
      <c r="C72" s="36" t="s">
        <v>126</v>
      </c>
      <c r="D72" s="36" t="s">
        <v>126</v>
      </c>
      <c r="E72" s="36" t="s">
        <v>126</v>
      </c>
      <c r="F72" s="36" t="s">
        <v>126</v>
      </c>
      <c r="G72" s="36" t="s">
        <v>126</v>
      </c>
      <c r="H72" s="36" t="s">
        <v>126</v>
      </c>
    </row>
    <row r="73" spans="1:8" ht="15" customHeight="1" x14ac:dyDescent="0.25">
      <c r="A73" s="38">
        <v>2026</v>
      </c>
      <c r="B73" s="38" t="s">
        <v>291</v>
      </c>
      <c r="C73" s="38">
        <v>1915</v>
      </c>
      <c r="D73" s="38">
        <v>1795</v>
      </c>
      <c r="E73" s="39">
        <f>IF(C73=0,0,D73/C73)</f>
        <v>0.93733681462140994</v>
      </c>
      <c r="F73" s="38">
        <v>150</v>
      </c>
      <c r="G73" s="38">
        <v>101</v>
      </c>
      <c r="H73" s="39">
        <f>IF(F73=0,0,G73/F73)</f>
        <v>0.67333333333333334</v>
      </c>
    </row>
    <row r="74" spans="1:8" ht="15" customHeight="1" x14ac:dyDescent="0.25">
      <c r="A74" s="36">
        <v>2025</v>
      </c>
      <c r="B74" s="36" t="s">
        <v>399</v>
      </c>
      <c r="C74" s="36">
        <v>80755</v>
      </c>
      <c r="D74" s="36">
        <v>72909</v>
      </c>
      <c r="E74" s="37">
        <f>IF(C74=0,0,D74/C74)</f>
        <v>0.90284192929230389</v>
      </c>
      <c r="F74" s="36">
        <v>27343</v>
      </c>
      <c r="G74" s="36">
        <v>23324</v>
      </c>
      <c r="H74" s="37">
        <f>IF(F74=0,0,G74/F74)</f>
        <v>0.85301539699374607</v>
      </c>
    </row>
    <row r="75" spans="1:8" ht="15" customHeight="1" x14ac:dyDescent="0.25">
      <c r="A75" s="38">
        <v>2026</v>
      </c>
      <c r="B75" s="38" t="s">
        <v>399</v>
      </c>
      <c r="C75" s="38">
        <v>79910</v>
      </c>
      <c r="D75" s="38">
        <v>74063</v>
      </c>
      <c r="E75" s="39">
        <f>IF(C75=0,0,D75/C75)</f>
        <v>0.9268301839569516</v>
      </c>
      <c r="F75" s="38">
        <v>26029</v>
      </c>
      <c r="G75" s="38">
        <v>22761</v>
      </c>
      <c r="H75" s="39">
        <f>IF(F75=0,0,G75/F75)</f>
        <v>0.87444773137654153</v>
      </c>
    </row>
    <row r="76" spans="1:8" ht="15" customHeight="1" x14ac:dyDescent="0.25">
      <c r="A76" s="36">
        <v>2025</v>
      </c>
      <c r="B76" s="36" t="s">
        <v>653</v>
      </c>
      <c r="C76" s="36">
        <v>0</v>
      </c>
      <c r="D76" s="36">
        <v>0</v>
      </c>
      <c r="E76" s="37">
        <f>IF(C76=0,0,D76/C76)</f>
        <v>0</v>
      </c>
      <c r="F76" s="36">
        <v>0</v>
      </c>
      <c r="G76" s="36">
        <v>0</v>
      </c>
      <c r="H76" s="37">
        <f>IF(F76=0,0,G76/F76)</f>
        <v>0</v>
      </c>
    </row>
    <row r="77" spans="1:8" ht="15" customHeight="1" x14ac:dyDescent="0.25">
      <c r="A77" s="38">
        <v>2026</v>
      </c>
      <c r="B77" s="38" t="s">
        <v>653</v>
      </c>
      <c r="C77" s="38" t="s">
        <v>126</v>
      </c>
      <c r="D77" s="38" t="s">
        <v>126</v>
      </c>
      <c r="E77" s="38" t="s">
        <v>126</v>
      </c>
      <c r="F77" s="38" t="s">
        <v>126</v>
      </c>
      <c r="G77" s="38" t="s">
        <v>126</v>
      </c>
      <c r="H77" s="38" t="s">
        <v>126</v>
      </c>
    </row>
    <row r="78" spans="1:8" ht="15" customHeight="1" x14ac:dyDescent="0.25">
      <c r="A78" s="36">
        <v>2025</v>
      </c>
      <c r="B78" s="36" t="s">
        <v>223</v>
      </c>
      <c r="C78" s="36">
        <v>77525</v>
      </c>
      <c r="D78" s="36">
        <v>59326</v>
      </c>
      <c r="E78" s="37">
        <f>IF(C78=0,0,D78/C78)</f>
        <v>0.76524991938084486</v>
      </c>
      <c r="F78" s="36">
        <v>26131</v>
      </c>
      <c r="G78" s="36">
        <v>17752</v>
      </c>
      <c r="H78" s="37">
        <f>IF(F78=0,0,G78/F78)</f>
        <v>0.67934637021162603</v>
      </c>
    </row>
    <row r="79" spans="1:8" ht="15" customHeight="1" x14ac:dyDescent="0.25">
      <c r="A79" s="38">
        <v>2026</v>
      </c>
      <c r="B79" s="38" t="s">
        <v>223</v>
      </c>
      <c r="C79" s="38">
        <v>80044</v>
      </c>
      <c r="D79" s="38">
        <v>53081</v>
      </c>
      <c r="E79" s="39">
        <f>IF(C79=0,0,D79/C79)</f>
        <v>0.66314776872720005</v>
      </c>
      <c r="F79" s="38">
        <v>26112</v>
      </c>
      <c r="G79" s="38">
        <v>14494</v>
      </c>
      <c r="H79" s="39">
        <f>IF(F79=0,0,G79/F79)</f>
        <v>0.55507046568627449</v>
      </c>
    </row>
    <row r="80" spans="1:8" ht="15" customHeight="1" x14ac:dyDescent="0.25">
      <c r="A80" s="36">
        <v>2025</v>
      </c>
      <c r="B80" s="36" t="s">
        <v>225</v>
      </c>
      <c r="C80" s="36">
        <v>817</v>
      </c>
      <c r="D80" s="36">
        <v>757</v>
      </c>
      <c r="E80" s="37">
        <f>IF(C80=0,0,D80/C80)</f>
        <v>0.9265605875152999</v>
      </c>
      <c r="F80" s="36">
        <v>1</v>
      </c>
      <c r="G80" s="36">
        <v>0</v>
      </c>
      <c r="H80" s="37">
        <f>IF(F80=0,0,G80/F80)</f>
        <v>0</v>
      </c>
    </row>
    <row r="81" spans="1:8" ht="15" customHeight="1" x14ac:dyDescent="0.25">
      <c r="A81" s="38">
        <v>2026</v>
      </c>
      <c r="B81" s="38" t="s">
        <v>225</v>
      </c>
      <c r="C81" s="38" t="s">
        <v>126</v>
      </c>
      <c r="D81" s="38" t="s">
        <v>126</v>
      </c>
      <c r="E81" s="38" t="s">
        <v>126</v>
      </c>
      <c r="F81" s="38" t="s">
        <v>126</v>
      </c>
      <c r="G81" s="38" t="s">
        <v>126</v>
      </c>
      <c r="H81" s="38" t="s">
        <v>126</v>
      </c>
    </row>
    <row r="82" spans="1:8" ht="15" customHeight="1" x14ac:dyDescent="0.25">
      <c r="A82" s="36">
        <v>2025</v>
      </c>
      <c r="B82" s="36" t="s">
        <v>400</v>
      </c>
      <c r="C82" s="36">
        <v>0</v>
      </c>
      <c r="D82" s="36">
        <v>0</v>
      </c>
      <c r="E82" s="37">
        <f>IF(C82=0,0,D82/C82)</f>
        <v>0</v>
      </c>
      <c r="F82" s="36">
        <v>10</v>
      </c>
      <c r="G82" s="36">
        <v>4</v>
      </c>
      <c r="H82" s="37">
        <f>IF(F82=0,0,G82/F82)</f>
        <v>0.4</v>
      </c>
    </row>
    <row r="83" spans="1:8" ht="15" customHeight="1" x14ac:dyDescent="0.25">
      <c r="A83" s="38">
        <v>2026</v>
      </c>
      <c r="B83" s="38" t="s">
        <v>400</v>
      </c>
      <c r="C83" s="38">
        <v>1</v>
      </c>
      <c r="D83" s="38">
        <v>1</v>
      </c>
      <c r="E83" s="39">
        <f>IF(C83=0,0,D83/C83)</f>
        <v>1</v>
      </c>
      <c r="F83" s="38">
        <v>4</v>
      </c>
      <c r="G83" s="38">
        <v>2</v>
      </c>
      <c r="H83" s="39">
        <f>IF(F83=0,0,G83/F83)</f>
        <v>0.5</v>
      </c>
    </row>
    <row r="84" spans="1:8" ht="15" customHeight="1" x14ac:dyDescent="0.25">
      <c r="A84" s="36">
        <v>2025</v>
      </c>
      <c r="B84" s="36" t="s">
        <v>227</v>
      </c>
      <c r="C84" s="36">
        <v>77525</v>
      </c>
      <c r="D84" s="36">
        <v>64753</v>
      </c>
      <c r="E84" s="37">
        <f>IF(C84=0,0,D84/C84)</f>
        <v>0.83525314414704932</v>
      </c>
      <c r="F84" s="36">
        <v>26131</v>
      </c>
      <c r="G84" s="36">
        <v>20348</v>
      </c>
      <c r="H84" s="37">
        <f>IF(F84=0,0,G84/F84)</f>
        <v>0.77869197504879262</v>
      </c>
    </row>
    <row r="85" spans="1:8" ht="15" customHeight="1" x14ac:dyDescent="0.25">
      <c r="A85" s="38">
        <v>2026</v>
      </c>
      <c r="B85" s="38" t="s">
        <v>227</v>
      </c>
      <c r="C85" s="38">
        <v>72958</v>
      </c>
      <c r="D85" s="38">
        <v>59784</v>
      </c>
      <c r="E85" s="39">
        <f>IF(C85=0,0,D85/C85)</f>
        <v>0.81943035719180901</v>
      </c>
      <c r="F85" s="38">
        <v>24497</v>
      </c>
      <c r="G85" s="38">
        <v>17920</v>
      </c>
      <c r="H85" s="39">
        <f>IF(F85=0,0,G85/F85)</f>
        <v>0.73151814507898927</v>
      </c>
    </row>
    <row r="86" spans="1:8" ht="15" customHeight="1" x14ac:dyDescent="0.25">
      <c r="A86" s="36">
        <v>2025</v>
      </c>
      <c r="B86" s="36" t="s">
        <v>295</v>
      </c>
      <c r="C86" s="36" t="s">
        <v>126</v>
      </c>
      <c r="D86" s="36" t="s">
        <v>126</v>
      </c>
      <c r="E86" s="36" t="s">
        <v>126</v>
      </c>
      <c r="F86" s="36" t="s">
        <v>126</v>
      </c>
      <c r="G86" s="36" t="s">
        <v>126</v>
      </c>
      <c r="H86" s="36" t="s">
        <v>126</v>
      </c>
    </row>
    <row r="87" spans="1:8" ht="15" customHeight="1" x14ac:dyDescent="0.25">
      <c r="A87" s="38">
        <v>2026</v>
      </c>
      <c r="B87" s="38" t="s">
        <v>295</v>
      </c>
      <c r="C87" s="38">
        <v>3197</v>
      </c>
      <c r="D87" s="38">
        <v>2486</v>
      </c>
      <c r="E87" s="39">
        <f t="shared" ref="E87:E96" si="6">IF(C87=0,0,D87/C87)</f>
        <v>0.7776040037535189</v>
      </c>
      <c r="F87" s="38">
        <v>203</v>
      </c>
      <c r="G87" s="38">
        <v>110</v>
      </c>
      <c r="H87" s="39">
        <f t="shared" ref="H87:H96" si="7">IF(F87=0,0,G87/F87)</f>
        <v>0.54187192118226601</v>
      </c>
    </row>
    <row r="88" spans="1:8" ht="15" customHeight="1" x14ac:dyDescent="0.25">
      <c r="A88" s="36">
        <v>2025</v>
      </c>
      <c r="B88" s="36" t="s">
        <v>403</v>
      </c>
      <c r="C88" s="36">
        <v>295</v>
      </c>
      <c r="D88" s="36">
        <v>273</v>
      </c>
      <c r="E88" s="37">
        <f t="shared" si="6"/>
        <v>0.92542372881355928</v>
      </c>
      <c r="F88" s="36">
        <v>140</v>
      </c>
      <c r="G88" s="36">
        <v>126</v>
      </c>
      <c r="H88" s="37">
        <f t="shared" si="7"/>
        <v>0.9</v>
      </c>
    </row>
    <row r="89" spans="1:8" ht="15" customHeight="1" x14ac:dyDescent="0.25">
      <c r="A89" s="38">
        <v>2026</v>
      </c>
      <c r="B89" s="38" t="s">
        <v>403</v>
      </c>
      <c r="C89" s="38">
        <v>254</v>
      </c>
      <c r="D89" s="38">
        <v>215</v>
      </c>
      <c r="E89" s="39">
        <f t="shared" si="6"/>
        <v>0.84645669291338588</v>
      </c>
      <c r="F89" s="38">
        <v>175</v>
      </c>
      <c r="G89" s="38">
        <v>146</v>
      </c>
      <c r="H89" s="39">
        <f t="shared" si="7"/>
        <v>0.8342857142857143</v>
      </c>
    </row>
    <row r="90" spans="1:8" ht="15" customHeight="1" x14ac:dyDescent="0.25">
      <c r="A90" s="36">
        <v>2025</v>
      </c>
      <c r="B90" s="36" t="s">
        <v>654</v>
      </c>
      <c r="C90" s="36">
        <v>151</v>
      </c>
      <c r="D90" s="36">
        <v>106</v>
      </c>
      <c r="E90" s="37">
        <f t="shared" si="6"/>
        <v>0.70198675496688745</v>
      </c>
      <c r="F90" s="36">
        <v>97</v>
      </c>
      <c r="G90" s="36">
        <v>66</v>
      </c>
      <c r="H90" s="37">
        <f t="shared" si="7"/>
        <v>0.68041237113402064</v>
      </c>
    </row>
    <row r="91" spans="1:8" ht="15" customHeight="1" x14ac:dyDescent="0.25">
      <c r="A91" s="38">
        <v>2026</v>
      </c>
      <c r="B91" s="38" t="s">
        <v>654</v>
      </c>
      <c r="C91" s="38">
        <v>178</v>
      </c>
      <c r="D91" s="38">
        <v>81</v>
      </c>
      <c r="E91" s="39">
        <f t="shared" si="6"/>
        <v>0.4550561797752809</v>
      </c>
      <c r="F91" s="38">
        <v>83</v>
      </c>
      <c r="G91" s="38">
        <v>37</v>
      </c>
      <c r="H91" s="39">
        <f t="shared" si="7"/>
        <v>0.44578313253012047</v>
      </c>
    </row>
    <row r="92" spans="1:8" ht="15" customHeight="1" x14ac:dyDescent="0.25">
      <c r="A92" s="36">
        <v>2025</v>
      </c>
      <c r="B92" s="36" t="s">
        <v>655</v>
      </c>
      <c r="C92" s="36">
        <v>80755</v>
      </c>
      <c r="D92" s="36">
        <v>76626</v>
      </c>
      <c r="E92" s="37">
        <f t="shared" si="6"/>
        <v>0.94887003900687261</v>
      </c>
      <c r="F92" s="36">
        <v>27343</v>
      </c>
      <c r="G92" s="36">
        <v>25137</v>
      </c>
      <c r="H92" s="37">
        <f t="shared" si="7"/>
        <v>0.9193212156676297</v>
      </c>
    </row>
    <row r="93" spans="1:8" ht="15" customHeight="1" x14ac:dyDescent="0.25">
      <c r="A93" s="38">
        <v>2026</v>
      </c>
      <c r="B93" s="38" t="s">
        <v>655</v>
      </c>
      <c r="C93" s="38">
        <v>79910</v>
      </c>
      <c r="D93" s="38">
        <v>74754</v>
      </c>
      <c r="E93" s="39">
        <f t="shared" si="6"/>
        <v>0.93547741208859969</v>
      </c>
      <c r="F93" s="38">
        <v>26029</v>
      </c>
      <c r="G93" s="38">
        <v>23199</v>
      </c>
      <c r="H93" s="39">
        <f t="shared" si="7"/>
        <v>0.89127511621652777</v>
      </c>
    </row>
    <row r="94" spans="1:8" ht="15" customHeight="1" x14ac:dyDescent="0.25">
      <c r="A94" s="36">
        <v>2025</v>
      </c>
      <c r="B94" s="36" t="s">
        <v>228</v>
      </c>
      <c r="C94" s="36">
        <v>80906</v>
      </c>
      <c r="D94" s="36">
        <v>76179</v>
      </c>
      <c r="E94" s="37">
        <f t="shared" si="6"/>
        <v>0.94157417249647735</v>
      </c>
      <c r="F94" s="36">
        <v>27440</v>
      </c>
      <c r="G94" s="36">
        <v>25051</v>
      </c>
      <c r="H94" s="37">
        <f t="shared" si="7"/>
        <v>0.91293731778425657</v>
      </c>
    </row>
    <row r="95" spans="1:8" ht="15" customHeight="1" x14ac:dyDescent="0.25">
      <c r="A95" s="38">
        <v>2026</v>
      </c>
      <c r="B95" s="38" t="s">
        <v>228</v>
      </c>
      <c r="C95" s="38">
        <v>80088</v>
      </c>
      <c r="D95" s="38">
        <v>75220</v>
      </c>
      <c r="E95" s="39">
        <f t="shared" si="6"/>
        <v>0.93921686145240235</v>
      </c>
      <c r="F95" s="38">
        <v>26112</v>
      </c>
      <c r="G95" s="38">
        <v>23325</v>
      </c>
      <c r="H95" s="39">
        <f t="shared" si="7"/>
        <v>0.89326746323529416</v>
      </c>
    </row>
    <row r="96" spans="1:8" ht="15" customHeight="1" x14ac:dyDescent="0.25">
      <c r="A96" s="36">
        <v>2025</v>
      </c>
      <c r="B96" s="36" t="s">
        <v>656</v>
      </c>
      <c r="C96" s="36">
        <v>0</v>
      </c>
      <c r="D96" s="36">
        <v>0</v>
      </c>
      <c r="E96" s="37">
        <f t="shared" si="6"/>
        <v>0</v>
      </c>
      <c r="F96" s="36">
        <v>0</v>
      </c>
      <c r="G96" s="36">
        <v>0</v>
      </c>
      <c r="H96" s="37">
        <f t="shared" si="7"/>
        <v>0</v>
      </c>
    </row>
    <row r="97" spans="1:8" ht="15" customHeight="1" x14ac:dyDescent="0.25">
      <c r="A97" s="38">
        <v>2026</v>
      </c>
      <c r="B97" s="38" t="s">
        <v>656</v>
      </c>
      <c r="C97" s="38" t="s">
        <v>126</v>
      </c>
      <c r="D97" s="38" t="s">
        <v>126</v>
      </c>
      <c r="E97" s="38" t="s">
        <v>126</v>
      </c>
      <c r="F97" s="38" t="s">
        <v>126</v>
      </c>
      <c r="G97" s="38" t="s">
        <v>126</v>
      </c>
      <c r="H97" s="38" t="s">
        <v>126</v>
      </c>
    </row>
    <row r="98" spans="1:8" ht="15" customHeight="1" x14ac:dyDescent="0.25">
      <c r="A98" s="36">
        <v>2025</v>
      </c>
      <c r="B98" s="36" t="s">
        <v>405</v>
      </c>
      <c r="C98" s="36">
        <v>0</v>
      </c>
      <c r="D98" s="36">
        <v>0</v>
      </c>
      <c r="E98" s="37">
        <f>IF(C98=0,0,D98/C98)</f>
        <v>0</v>
      </c>
      <c r="F98" s="36">
        <v>0</v>
      </c>
      <c r="G98" s="36">
        <v>0</v>
      </c>
      <c r="H98" s="37">
        <f>IF(F98=0,0,G98/F98)</f>
        <v>0</v>
      </c>
    </row>
    <row r="99" spans="1:8" ht="15" customHeight="1" x14ac:dyDescent="0.25">
      <c r="A99" s="38">
        <v>2026</v>
      </c>
      <c r="B99" s="38" t="s">
        <v>405</v>
      </c>
      <c r="C99" s="38" t="s">
        <v>126</v>
      </c>
      <c r="D99" s="38" t="s">
        <v>126</v>
      </c>
      <c r="E99" s="38" t="s">
        <v>126</v>
      </c>
      <c r="F99" s="38" t="s">
        <v>126</v>
      </c>
      <c r="G99" s="38" t="s">
        <v>126</v>
      </c>
      <c r="H99" s="38" t="s">
        <v>126</v>
      </c>
    </row>
    <row r="100" spans="1:8" ht="15" customHeight="1" x14ac:dyDescent="0.25">
      <c r="A100" s="36">
        <v>2025</v>
      </c>
      <c r="B100" s="36" t="s">
        <v>657</v>
      </c>
      <c r="C100" s="36">
        <v>0</v>
      </c>
      <c r="D100" s="36">
        <v>0</v>
      </c>
      <c r="E100" s="37">
        <f>IF(C100=0,0,D100/C100)</f>
        <v>0</v>
      </c>
      <c r="F100" s="36">
        <v>0</v>
      </c>
      <c r="G100" s="36">
        <v>0</v>
      </c>
      <c r="H100" s="37">
        <f>IF(F100=0,0,G100/F100)</f>
        <v>0</v>
      </c>
    </row>
    <row r="101" spans="1:8" ht="15" customHeight="1" x14ac:dyDescent="0.25">
      <c r="A101" s="38">
        <v>2026</v>
      </c>
      <c r="B101" s="38" t="s">
        <v>657</v>
      </c>
      <c r="C101" s="38">
        <v>0</v>
      </c>
      <c r="D101" s="38">
        <v>0</v>
      </c>
      <c r="E101" s="39">
        <f>IF(C101=0,0,D101/C101)</f>
        <v>0</v>
      </c>
      <c r="F101" s="38">
        <v>0</v>
      </c>
      <c r="G101" s="38">
        <v>0</v>
      </c>
      <c r="H101" s="39">
        <f>IF(F101=0,0,G101/F101)</f>
        <v>0</v>
      </c>
    </row>
  </sheetData>
  <autoFilter ref="A1:H101" xr:uid="{00000000-0009-0000-0000-000038000000}"/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2" customWidth="1"/>
    <col min="3" max="3" width="10" customWidth="1"/>
    <col min="4" max="4" width="12" customWidth="1"/>
    <col min="5" max="5" width="14" customWidth="1"/>
    <col min="6" max="6" width="16" customWidth="1"/>
    <col min="7" max="7" width="10" customWidth="1"/>
    <col min="9" max="9" width="14" customWidth="1"/>
  </cols>
  <sheetData>
    <row r="1" spans="1:9" ht="26.25" customHeight="1" x14ac:dyDescent="0.25">
      <c r="A1" s="19" t="s">
        <v>121</v>
      </c>
      <c r="B1" s="19" t="s">
        <v>658</v>
      </c>
      <c r="C1" s="19" t="s">
        <v>196</v>
      </c>
      <c r="D1" s="19" t="s">
        <v>122</v>
      </c>
      <c r="E1" s="19" t="s">
        <v>659</v>
      </c>
      <c r="F1" s="19" t="s">
        <v>660</v>
      </c>
      <c r="G1" s="19" t="s">
        <v>661</v>
      </c>
      <c r="H1" s="19" t="s">
        <v>306</v>
      </c>
      <c r="I1" s="19" t="s">
        <v>7</v>
      </c>
    </row>
    <row r="2" spans="1:9" ht="15" customHeight="1" x14ac:dyDescent="0.25">
      <c r="A2" s="55">
        <v>2025</v>
      </c>
      <c r="B2" s="55">
        <v>146348</v>
      </c>
      <c r="C2" s="55">
        <v>1792</v>
      </c>
      <c r="D2" s="55">
        <v>144556</v>
      </c>
      <c r="E2" s="55">
        <v>238</v>
      </c>
      <c r="F2" s="55">
        <v>47</v>
      </c>
      <c r="G2" s="55">
        <v>54389</v>
      </c>
      <c r="H2" s="55">
        <v>89882</v>
      </c>
      <c r="I2" s="56">
        <v>62.18</v>
      </c>
    </row>
    <row r="3" spans="1:9" ht="15" customHeight="1" x14ac:dyDescent="0.25">
      <c r="A3" s="57">
        <v>2026</v>
      </c>
      <c r="B3" s="57">
        <v>150077</v>
      </c>
      <c r="C3" s="57">
        <v>1766</v>
      </c>
      <c r="D3" s="57">
        <v>148311</v>
      </c>
      <c r="E3" s="57">
        <v>368</v>
      </c>
      <c r="F3" s="57">
        <v>24</v>
      </c>
      <c r="G3" s="57">
        <v>59273</v>
      </c>
      <c r="H3" s="57">
        <v>88646</v>
      </c>
      <c r="I3" s="58">
        <v>59.77</v>
      </c>
    </row>
    <row r="4" spans="1:9" ht="15" customHeight="1" x14ac:dyDescent="0.25">
      <c r="A4" s="22" t="s">
        <v>125</v>
      </c>
      <c r="B4" s="22">
        <f t="shared" ref="B4:I4" si="0">B3-B2</f>
        <v>3729</v>
      </c>
      <c r="C4" s="22">
        <f t="shared" si="0"/>
        <v>-26</v>
      </c>
      <c r="D4" s="22">
        <f t="shared" si="0"/>
        <v>3755</v>
      </c>
      <c r="E4" s="22">
        <f t="shared" si="0"/>
        <v>130</v>
      </c>
      <c r="F4" s="22">
        <f t="shared" si="0"/>
        <v>-23</v>
      </c>
      <c r="G4" s="22">
        <f t="shared" si="0"/>
        <v>4884</v>
      </c>
      <c r="H4" s="22">
        <f t="shared" si="0"/>
        <v>-1236</v>
      </c>
      <c r="I4" s="23">
        <f t="shared" si="0"/>
        <v>-2.4099999999999966</v>
      </c>
    </row>
  </sheetData>
  <autoFilter ref="A1:I3" xr:uid="{00000000-0009-0000-0000-000039000000}"/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T3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3" customWidth="1"/>
    <col min="3" max="3" width="12" customWidth="1"/>
    <col min="4" max="4" width="9" customWidth="1"/>
    <col min="5" max="5" width="10" customWidth="1"/>
    <col min="6" max="6" width="9" customWidth="1"/>
    <col min="7" max="7" width="10" customWidth="1"/>
    <col min="8" max="8" width="12" customWidth="1"/>
    <col min="10" max="10" width="9" customWidth="1"/>
    <col min="20" max="20" width="10" customWidth="1"/>
  </cols>
  <sheetData>
    <row r="1" spans="1:20" ht="39" customHeight="1" x14ac:dyDescent="0.25">
      <c r="A1" s="19" t="s">
        <v>121</v>
      </c>
      <c r="B1" s="19" t="s">
        <v>195</v>
      </c>
      <c r="C1" s="19" t="s">
        <v>130</v>
      </c>
      <c r="D1" s="19" t="s">
        <v>229</v>
      </c>
      <c r="E1" s="19" t="s">
        <v>658</v>
      </c>
      <c r="F1" s="19" t="s">
        <v>196</v>
      </c>
      <c r="G1" s="19" t="s">
        <v>122</v>
      </c>
      <c r="H1" s="19" t="s">
        <v>659</v>
      </c>
      <c r="I1" s="19" t="s">
        <v>660</v>
      </c>
      <c r="J1" s="19" t="s">
        <v>661</v>
      </c>
      <c r="K1" s="19" t="s">
        <v>306</v>
      </c>
      <c r="L1" s="19" t="s">
        <v>662</v>
      </c>
      <c r="M1" s="19" t="s">
        <v>663</v>
      </c>
      <c r="N1" s="19" t="s">
        <v>664</v>
      </c>
      <c r="O1" s="19" t="s">
        <v>665</v>
      </c>
      <c r="P1" s="19" t="s">
        <v>666</v>
      </c>
      <c r="Q1" s="19" t="s">
        <v>667</v>
      </c>
      <c r="R1" s="19" t="s">
        <v>668</v>
      </c>
      <c r="S1" s="19" t="s">
        <v>669</v>
      </c>
      <c r="T1" s="19" t="s">
        <v>132</v>
      </c>
    </row>
    <row r="2" spans="1:20" ht="15" customHeight="1" x14ac:dyDescent="0.25">
      <c r="A2" s="55">
        <v>2025</v>
      </c>
      <c r="B2" s="55" t="s">
        <v>244</v>
      </c>
      <c r="C2" s="55" t="s">
        <v>235</v>
      </c>
      <c r="D2" s="55" t="s">
        <v>232</v>
      </c>
      <c r="E2" s="55">
        <v>3816</v>
      </c>
      <c r="F2" s="55">
        <v>54</v>
      </c>
      <c r="G2" s="55">
        <v>3762</v>
      </c>
      <c r="H2" s="55">
        <v>1</v>
      </c>
      <c r="I2" s="55">
        <v>0</v>
      </c>
      <c r="J2" s="55">
        <v>2211</v>
      </c>
      <c r="K2" s="55">
        <v>1550</v>
      </c>
      <c r="L2" s="55">
        <v>726</v>
      </c>
      <c r="M2" s="55">
        <v>441</v>
      </c>
      <c r="N2" s="55">
        <v>304</v>
      </c>
      <c r="O2" s="55">
        <v>247</v>
      </c>
      <c r="P2" s="55">
        <v>211</v>
      </c>
      <c r="Q2" s="55">
        <v>138</v>
      </c>
      <c r="R2" s="55">
        <v>93</v>
      </c>
      <c r="S2" s="55">
        <v>51</v>
      </c>
      <c r="T2" s="56">
        <v>41.2</v>
      </c>
    </row>
    <row r="3" spans="1:20" ht="15" customHeight="1" x14ac:dyDescent="0.25">
      <c r="A3" s="55">
        <v>2025</v>
      </c>
      <c r="B3" s="55" t="s">
        <v>244</v>
      </c>
      <c r="C3" s="55" t="s">
        <v>235</v>
      </c>
      <c r="D3" s="55" t="s">
        <v>233</v>
      </c>
      <c r="E3" s="55">
        <v>9780</v>
      </c>
      <c r="F3" s="55">
        <v>75</v>
      </c>
      <c r="G3" s="55">
        <v>9705</v>
      </c>
      <c r="H3" s="55">
        <v>2</v>
      </c>
      <c r="I3" s="55">
        <v>2</v>
      </c>
      <c r="J3" s="55">
        <v>2873</v>
      </c>
      <c r="K3" s="55">
        <v>6828</v>
      </c>
      <c r="L3" s="55">
        <v>1570</v>
      </c>
      <c r="M3" s="55">
        <v>683</v>
      </c>
      <c r="N3" s="55">
        <v>293</v>
      </c>
      <c r="O3" s="55">
        <v>158</v>
      </c>
      <c r="P3" s="55">
        <v>85</v>
      </c>
      <c r="Q3" s="55">
        <v>53</v>
      </c>
      <c r="R3" s="55">
        <v>21</v>
      </c>
      <c r="S3" s="55">
        <v>10</v>
      </c>
      <c r="T3" s="56">
        <v>70.36</v>
      </c>
    </row>
    <row r="4" spans="1:20" ht="15" customHeight="1" x14ac:dyDescent="0.25">
      <c r="A4" s="55">
        <v>2025</v>
      </c>
      <c r="B4" s="55" t="s">
        <v>244</v>
      </c>
      <c r="C4" s="55" t="s">
        <v>235</v>
      </c>
      <c r="D4" s="55" t="s">
        <v>234</v>
      </c>
      <c r="E4" s="55">
        <v>13596</v>
      </c>
      <c r="F4" s="55">
        <v>129</v>
      </c>
      <c r="G4" s="55">
        <v>13467</v>
      </c>
      <c r="H4" s="55">
        <v>3</v>
      </c>
      <c r="I4" s="55">
        <v>2</v>
      </c>
      <c r="J4" s="55">
        <v>5084</v>
      </c>
      <c r="K4" s="55">
        <v>8378</v>
      </c>
      <c r="L4" s="55">
        <v>2296</v>
      </c>
      <c r="M4" s="55">
        <v>1124</v>
      </c>
      <c r="N4" s="55">
        <v>597</v>
      </c>
      <c r="O4" s="55">
        <v>405</v>
      </c>
      <c r="P4" s="55">
        <v>296</v>
      </c>
      <c r="Q4" s="55">
        <v>191</v>
      </c>
      <c r="R4" s="55">
        <v>114</v>
      </c>
      <c r="S4" s="55">
        <v>61</v>
      </c>
      <c r="T4" s="56">
        <v>62.21</v>
      </c>
    </row>
    <row r="5" spans="1:20" ht="15" customHeight="1" x14ac:dyDescent="0.25">
      <c r="A5" s="55">
        <v>2025</v>
      </c>
      <c r="B5" s="55" t="s">
        <v>244</v>
      </c>
      <c r="C5" s="55" t="s">
        <v>198</v>
      </c>
      <c r="D5" s="55" t="s">
        <v>232</v>
      </c>
      <c r="E5" s="55">
        <v>63583</v>
      </c>
      <c r="F5" s="55">
        <v>723</v>
      </c>
      <c r="G5" s="55">
        <v>62860</v>
      </c>
      <c r="H5" s="55">
        <v>69</v>
      </c>
      <c r="I5" s="55">
        <v>34</v>
      </c>
      <c r="J5" s="55">
        <v>24350</v>
      </c>
      <c r="K5" s="55">
        <v>38407</v>
      </c>
      <c r="L5" s="55">
        <v>11873</v>
      </c>
      <c r="M5" s="55">
        <v>4626</v>
      </c>
      <c r="N5" s="55">
        <v>3212</v>
      </c>
      <c r="O5" s="55">
        <v>2314</v>
      </c>
      <c r="P5" s="55">
        <v>1196</v>
      </c>
      <c r="Q5" s="55">
        <v>648</v>
      </c>
      <c r="R5" s="55">
        <v>310</v>
      </c>
      <c r="S5" s="55">
        <v>171</v>
      </c>
      <c r="T5" s="56">
        <v>61.1</v>
      </c>
    </row>
    <row r="6" spans="1:20" ht="15" customHeight="1" x14ac:dyDescent="0.25">
      <c r="A6" s="55">
        <v>2025</v>
      </c>
      <c r="B6" s="55" t="s">
        <v>244</v>
      </c>
      <c r="C6" s="55" t="s">
        <v>198</v>
      </c>
      <c r="D6" s="55" t="s">
        <v>233</v>
      </c>
      <c r="E6" s="55">
        <v>55704</v>
      </c>
      <c r="F6" s="55">
        <v>548</v>
      </c>
      <c r="G6" s="55">
        <v>55156</v>
      </c>
      <c r="H6" s="55">
        <v>57</v>
      </c>
      <c r="I6" s="55">
        <v>5</v>
      </c>
      <c r="J6" s="55">
        <v>15017</v>
      </c>
      <c r="K6" s="55">
        <v>40077</v>
      </c>
      <c r="L6" s="55">
        <v>9039</v>
      </c>
      <c r="M6" s="55">
        <v>2658</v>
      </c>
      <c r="N6" s="55">
        <v>1633</v>
      </c>
      <c r="O6" s="55">
        <v>1074</v>
      </c>
      <c r="P6" s="55">
        <v>390</v>
      </c>
      <c r="Q6" s="55">
        <v>153</v>
      </c>
      <c r="R6" s="55">
        <v>48</v>
      </c>
      <c r="S6" s="55">
        <v>22</v>
      </c>
      <c r="T6" s="56">
        <v>72.66</v>
      </c>
    </row>
    <row r="7" spans="1:20" ht="15" customHeight="1" x14ac:dyDescent="0.25">
      <c r="A7" s="55">
        <v>2025</v>
      </c>
      <c r="B7" s="55" t="s">
        <v>244</v>
      </c>
      <c r="C7" s="55" t="s">
        <v>198</v>
      </c>
      <c r="D7" s="55" t="s">
        <v>234</v>
      </c>
      <c r="E7" s="55">
        <v>119287</v>
      </c>
      <c r="F7" s="55">
        <v>1271</v>
      </c>
      <c r="G7" s="55">
        <v>118016</v>
      </c>
      <c r="H7" s="55">
        <v>126</v>
      </c>
      <c r="I7" s="55">
        <v>39</v>
      </c>
      <c r="J7" s="55">
        <v>39367</v>
      </c>
      <c r="K7" s="55">
        <v>78484</v>
      </c>
      <c r="L7" s="55">
        <v>20912</v>
      </c>
      <c r="M7" s="55">
        <v>7284</v>
      </c>
      <c r="N7" s="55">
        <v>4845</v>
      </c>
      <c r="O7" s="55">
        <v>3388</v>
      </c>
      <c r="P7" s="55">
        <v>1586</v>
      </c>
      <c r="Q7" s="55">
        <v>801</v>
      </c>
      <c r="R7" s="55">
        <v>358</v>
      </c>
      <c r="S7" s="55">
        <v>193</v>
      </c>
      <c r="T7" s="56">
        <v>66.5</v>
      </c>
    </row>
    <row r="8" spans="1:20" ht="15" customHeight="1" x14ac:dyDescent="0.25">
      <c r="A8" s="55">
        <v>2025</v>
      </c>
      <c r="B8" s="55" t="s">
        <v>244</v>
      </c>
      <c r="C8" s="55" t="s">
        <v>234</v>
      </c>
      <c r="D8" s="55" t="s">
        <v>234</v>
      </c>
      <c r="E8" s="55">
        <v>132883</v>
      </c>
      <c r="F8" s="55">
        <v>1400</v>
      </c>
      <c r="G8" s="55">
        <v>131483</v>
      </c>
      <c r="H8" s="55">
        <v>129</v>
      </c>
      <c r="I8" s="55">
        <v>41</v>
      </c>
      <c r="J8" s="55">
        <v>44451</v>
      </c>
      <c r="K8" s="55">
        <v>86862</v>
      </c>
      <c r="L8" s="55">
        <v>23208</v>
      </c>
      <c r="M8" s="55">
        <v>8408</v>
      </c>
      <c r="N8" s="55">
        <v>5442</v>
      </c>
      <c r="O8" s="55">
        <v>3793</v>
      </c>
      <c r="P8" s="55">
        <v>1882</v>
      </c>
      <c r="Q8" s="55">
        <v>992</v>
      </c>
      <c r="R8" s="55">
        <v>472</v>
      </c>
      <c r="S8" s="55">
        <v>254</v>
      </c>
      <c r="T8" s="56">
        <v>66.06</v>
      </c>
    </row>
    <row r="9" spans="1:20" ht="15" customHeight="1" x14ac:dyDescent="0.25">
      <c r="A9" s="55">
        <v>2025</v>
      </c>
      <c r="B9" s="55" t="s">
        <v>670</v>
      </c>
      <c r="C9" s="55" t="s">
        <v>235</v>
      </c>
      <c r="D9" s="55" t="s">
        <v>232</v>
      </c>
      <c r="E9" s="55">
        <v>1600</v>
      </c>
      <c r="F9" s="55">
        <v>54</v>
      </c>
      <c r="G9" s="55">
        <v>1546</v>
      </c>
      <c r="H9" s="55">
        <v>17</v>
      </c>
      <c r="I9" s="55">
        <v>2</v>
      </c>
      <c r="J9" s="55">
        <v>1203</v>
      </c>
      <c r="K9" s="55">
        <v>324</v>
      </c>
      <c r="L9" s="55">
        <v>244</v>
      </c>
      <c r="M9" s="55">
        <v>192</v>
      </c>
      <c r="N9" s="55">
        <v>173</v>
      </c>
      <c r="O9" s="55">
        <v>145</v>
      </c>
      <c r="P9" s="55">
        <v>132</v>
      </c>
      <c r="Q9" s="55">
        <v>147</v>
      </c>
      <c r="R9" s="55">
        <v>104</v>
      </c>
      <c r="S9" s="55">
        <v>66</v>
      </c>
      <c r="T9" s="56">
        <v>20.96</v>
      </c>
    </row>
    <row r="10" spans="1:20" ht="15" customHeight="1" x14ac:dyDescent="0.25">
      <c r="A10" s="55">
        <v>2025</v>
      </c>
      <c r="B10" s="55" t="s">
        <v>670</v>
      </c>
      <c r="C10" s="55" t="s">
        <v>235</v>
      </c>
      <c r="D10" s="55" t="s">
        <v>233</v>
      </c>
      <c r="E10" s="55">
        <v>1852</v>
      </c>
      <c r="F10" s="55">
        <v>67</v>
      </c>
      <c r="G10" s="55">
        <v>1785</v>
      </c>
      <c r="H10" s="55">
        <v>25</v>
      </c>
      <c r="I10" s="55">
        <v>0</v>
      </c>
      <c r="J10" s="55">
        <v>1034</v>
      </c>
      <c r="K10" s="55">
        <v>726</v>
      </c>
      <c r="L10" s="55">
        <v>384</v>
      </c>
      <c r="M10" s="55">
        <v>212</v>
      </c>
      <c r="N10" s="55">
        <v>169</v>
      </c>
      <c r="O10" s="55">
        <v>104</v>
      </c>
      <c r="P10" s="55">
        <v>76</v>
      </c>
      <c r="Q10" s="55">
        <v>56</v>
      </c>
      <c r="R10" s="55">
        <v>19</v>
      </c>
      <c r="S10" s="55">
        <v>14</v>
      </c>
      <c r="T10" s="56">
        <v>40.67</v>
      </c>
    </row>
    <row r="11" spans="1:20" ht="15" customHeight="1" x14ac:dyDescent="0.25">
      <c r="A11" s="55">
        <v>2025</v>
      </c>
      <c r="B11" s="55" t="s">
        <v>670</v>
      </c>
      <c r="C11" s="55" t="s">
        <v>235</v>
      </c>
      <c r="D11" s="55" t="s">
        <v>234</v>
      </c>
      <c r="E11" s="55">
        <v>3452</v>
      </c>
      <c r="F11" s="55">
        <v>121</v>
      </c>
      <c r="G11" s="55">
        <v>3331</v>
      </c>
      <c r="H11" s="55">
        <v>42</v>
      </c>
      <c r="I11" s="55">
        <v>2</v>
      </c>
      <c r="J11" s="55">
        <v>2237</v>
      </c>
      <c r="K11" s="55">
        <v>1050</v>
      </c>
      <c r="L11" s="55">
        <v>628</v>
      </c>
      <c r="M11" s="55">
        <v>404</v>
      </c>
      <c r="N11" s="55">
        <v>342</v>
      </c>
      <c r="O11" s="55">
        <v>249</v>
      </c>
      <c r="P11" s="55">
        <v>208</v>
      </c>
      <c r="Q11" s="55">
        <v>203</v>
      </c>
      <c r="R11" s="55">
        <v>123</v>
      </c>
      <c r="S11" s="55">
        <v>80</v>
      </c>
      <c r="T11" s="56">
        <v>31.52</v>
      </c>
    </row>
    <row r="12" spans="1:20" ht="15" customHeight="1" x14ac:dyDescent="0.25">
      <c r="A12" s="55">
        <v>2025</v>
      </c>
      <c r="B12" s="55" t="s">
        <v>670</v>
      </c>
      <c r="C12" s="55" t="s">
        <v>198</v>
      </c>
      <c r="D12" s="55" t="s">
        <v>232</v>
      </c>
      <c r="E12" s="55">
        <v>6396</v>
      </c>
      <c r="F12" s="55">
        <v>171</v>
      </c>
      <c r="G12" s="55">
        <v>6225</v>
      </c>
      <c r="H12" s="55">
        <v>34</v>
      </c>
      <c r="I12" s="55">
        <v>4</v>
      </c>
      <c r="J12" s="55">
        <v>5104</v>
      </c>
      <c r="K12" s="55">
        <v>1083</v>
      </c>
      <c r="L12" s="55">
        <v>1330</v>
      </c>
      <c r="M12" s="55">
        <v>891</v>
      </c>
      <c r="N12" s="55">
        <v>930</v>
      </c>
      <c r="O12" s="55">
        <v>843</v>
      </c>
      <c r="P12" s="55">
        <v>546</v>
      </c>
      <c r="Q12" s="55">
        <v>273</v>
      </c>
      <c r="R12" s="55">
        <v>178</v>
      </c>
      <c r="S12" s="55">
        <v>113</v>
      </c>
      <c r="T12" s="56">
        <v>17.399999999999999</v>
      </c>
    </row>
    <row r="13" spans="1:20" ht="15" customHeight="1" x14ac:dyDescent="0.25">
      <c r="A13" s="55">
        <v>2025</v>
      </c>
      <c r="B13" s="55" t="s">
        <v>670</v>
      </c>
      <c r="C13" s="55" t="s">
        <v>198</v>
      </c>
      <c r="D13" s="55" t="s">
        <v>233</v>
      </c>
      <c r="E13" s="55">
        <v>3617</v>
      </c>
      <c r="F13" s="55">
        <v>100</v>
      </c>
      <c r="G13" s="55">
        <v>3517</v>
      </c>
      <c r="H13" s="55">
        <v>33</v>
      </c>
      <c r="I13" s="55">
        <v>0</v>
      </c>
      <c r="J13" s="55">
        <v>2597</v>
      </c>
      <c r="K13" s="55">
        <v>887</v>
      </c>
      <c r="L13" s="55">
        <v>836</v>
      </c>
      <c r="M13" s="55">
        <v>540</v>
      </c>
      <c r="N13" s="55">
        <v>484</v>
      </c>
      <c r="O13" s="55">
        <v>409</v>
      </c>
      <c r="P13" s="55">
        <v>183</v>
      </c>
      <c r="Q13" s="55">
        <v>91</v>
      </c>
      <c r="R13" s="55">
        <v>36</v>
      </c>
      <c r="S13" s="55">
        <v>18</v>
      </c>
      <c r="T13" s="56">
        <v>25.22</v>
      </c>
    </row>
    <row r="14" spans="1:20" ht="15" customHeight="1" x14ac:dyDescent="0.25">
      <c r="A14" s="55">
        <v>2025</v>
      </c>
      <c r="B14" s="55" t="s">
        <v>670</v>
      </c>
      <c r="C14" s="55" t="s">
        <v>198</v>
      </c>
      <c r="D14" s="55" t="s">
        <v>234</v>
      </c>
      <c r="E14" s="55">
        <v>10013</v>
      </c>
      <c r="F14" s="55">
        <v>271</v>
      </c>
      <c r="G14" s="55">
        <v>9742</v>
      </c>
      <c r="H14" s="55">
        <v>67</v>
      </c>
      <c r="I14" s="55">
        <v>4</v>
      </c>
      <c r="J14" s="55">
        <v>7701</v>
      </c>
      <c r="K14" s="55">
        <v>1970</v>
      </c>
      <c r="L14" s="55">
        <v>2166</v>
      </c>
      <c r="M14" s="55">
        <v>1431</v>
      </c>
      <c r="N14" s="55">
        <v>1414</v>
      </c>
      <c r="O14" s="55">
        <v>1252</v>
      </c>
      <c r="P14" s="55">
        <v>729</v>
      </c>
      <c r="Q14" s="55">
        <v>364</v>
      </c>
      <c r="R14" s="55">
        <v>214</v>
      </c>
      <c r="S14" s="55">
        <v>131</v>
      </c>
      <c r="T14" s="56">
        <v>20.22</v>
      </c>
    </row>
    <row r="15" spans="1:20" ht="15" customHeight="1" x14ac:dyDescent="0.25">
      <c r="A15" s="55">
        <v>2025</v>
      </c>
      <c r="B15" s="55" t="s">
        <v>670</v>
      </c>
      <c r="C15" s="55" t="s">
        <v>234</v>
      </c>
      <c r="D15" s="55" t="s">
        <v>234</v>
      </c>
      <c r="E15" s="55">
        <v>13465</v>
      </c>
      <c r="F15" s="55">
        <v>392</v>
      </c>
      <c r="G15" s="55">
        <v>13073</v>
      </c>
      <c r="H15" s="55">
        <v>109</v>
      </c>
      <c r="I15" s="55">
        <v>6</v>
      </c>
      <c r="J15" s="55">
        <v>9938</v>
      </c>
      <c r="K15" s="55">
        <v>3020</v>
      </c>
      <c r="L15" s="55">
        <v>2794</v>
      </c>
      <c r="M15" s="55">
        <v>1835</v>
      </c>
      <c r="N15" s="55">
        <v>1756</v>
      </c>
      <c r="O15" s="55">
        <v>1501</v>
      </c>
      <c r="P15" s="55">
        <v>937</v>
      </c>
      <c r="Q15" s="55">
        <v>567</v>
      </c>
      <c r="R15" s="55">
        <v>337</v>
      </c>
      <c r="S15" s="55">
        <v>211</v>
      </c>
      <c r="T15" s="56">
        <v>23.1</v>
      </c>
    </row>
    <row r="16" spans="1:20" ht="15" customHeight="1" x14ac:dyDescent="0.25">
      <c r="A16" s="59">
        <v>2025</v>
      </c>
      <c r="B16" s="59" t="s">
        <v>144</v>
      </c>
      <c r="C16" s="59" t="s">
        <v>144</v>
      </c>
      <c r="D16" s="59" t="s">
        <v>234</v>
      </c>
      <c r="E16" s="59">
        <v>146348</v>
      </c>
      <c r="F16" s="59">
        <v>1792</v>
      </c>
      <c r="G16" s="59">
        <v>144556</v>
      </c>
      <c r="H16" s="59">
        <v>238</v>
      </c>
      <c r="I16" s="59">
        <v>47</v>
      </c>
      <c r="J16" s="59">
        <v>54389</v>
      </c>
      <c r="K16" s="59">
        <v>89882</v>
      </c>
      <c r="L16" s="59">
        <v>26002</v>
      </c>
      <c r="M16" s="59">
        <v>10243</v>
      </c>
      <c r="N16" s="59">
        <v>7198</v>
      </c>
      <c r="O16" s="59">
        <v>5294</v>
      </c>
      <c r="P16" s="59">
        <v>2819</v>
      </c>
      <c r="Q16" s="59">
        <v>1559</v>
      </c>
      <c r="R16" s="59">
        <v>809</v>
      </c>
      <c r="S16" s="59">
        <v>465</v>
      </c>
      <c r="T16" s="60">
        <v>62.18</v>
      </c>
    </row>
    <row r="17" spans="1:20" ht="15" customHeight="1" x14ac:dyDescent="0.25">
      <c r="A17" s="57">
        <v>2026</v>
      </c>
      <c r="B17" s="57" t="s">
        <v>244</v>
      </c>
      <c r="C17" s="57" t="s">
        <v>235</v>
      </c>
      <c r="D17" s="57" t="s">
        <v>232</v>
      </c>
      <c r="E17" s="57">
        <v>3575</v>
      </c>
      <c r="F17" s="57">
        <v>87</v>
      </c>
      <c r="G17" s="57">
        <v>3488</v>
      </c>
      <c r="H17" s="57">
        <v>2</v>
      </c>
      <c r="I17" s="57">
        <v>0</v>
      </c>
      <c r="J17" s="57">
        <v>2988</v>
      </c>
      <c r="K17" s="57">
        <v>498</v>
      </c>
      <c r="L17" s="57">
        <v>657</v>
      </c>
      <c r="M17" s="57">
        <v>665</v>
      </c>
      <c r="N17" s="57">
        <v>491</v>
      </c>
      <c r="O17" s="57">
        <v>342</v>
      </c>
      <c r="P17" s="57">
        <v>280</v>
      </c>
      <c r="Q17" s="57">
        <v>208</v>
      </c>
      <c r="R17" s="57">
        <v>195</v>
      </c>
      <c r="S17" s="57">
        <v>150</v>
      </c>
      <c r="T17" s="58">
        <v>14.28</v>
      </c>
    </row>
    <row r="18" spans="1:20" ht="15" customHeight="1" x14ac:dyDescent="0.25">
      <c r="A18" s="57">
        <v>2026</v>
      </c>
      <c r="B18" s="57" t="s">
        <v>244</v>
      </c>
      <c r="C18" s="57" t="s">
        <v>235</v>
      </c>
      <c r="D18" s="57" t="s">
        <v>233</v>
      </c>
      <c r="E18" s="57">
        <v>9121</v>
      </c>
      <c r="F18" s="57">
        <v>77</v>
      </c>
      <c r="G18" s="57">
        <v>9044</v>
      </c>
      <c r="H18" s="57">
        <v>8</v>
      </c>
      <c r="I18" s="57">
        <v>0</v>
      </c>
      <c r="J18" s="57">
        <v>6339</v>
      </c>
      <c r="K18" s="57">
        <v>2697</v>
      </c>
      <c r="L18" s="57">
        <v>2934</v>
      </c>
      <c r="M18" s="57">
        <v>2015</v>
      </c>
      <c r="N18" s="57">
        <v>821</v>
      </c>
      <c r="O18" s="57">
        <v>285</v>
      </c>
      <c r="P18" s="57">
        <v>126</v>
      </c>
      <c r="Q18" s="57">
        <v>77</v>
      </c>
      <c r="R18" s="57">
        <v>57</v>
      </c>
      <c r="S18" s="57">
        <v>24</v>
      </c>
      <c r="T18" s="58">
        <v>29.82</v>
      </c>
    </row>
    <row r="19" spans="1:20" ht="15" customHeight="1" x14ac:dyDescent="0.25">
      <c r="A19" s="57">
        <v>2026</v>
      </c>
      <c r="B19" s="57" t="s">
        <v>244</v>
      </c>
      <c r="C19" s="57" t="s">
        <v>235</v>
      </c>
      <c r="D19" s="57" t="s">
        <v>234</v>
      </c>
      <c r="E19" s="57">
        <v>12696</v>
      </c>
      <c r="F19" s="57">
        <v>164</v>
      </c>
      <c r="G19" s="57">
        <v>12532</v>
      </c>
      <c r="H19" s="57">
        <v>10</v>
      </c>
      <c r="I19" s="57">
        <v>0</v>
      </c>
      <c r="J19" s="57">
        <v>9327</v>
      </c>
      <c r="K19" s="57">
        <v>3195</v>
      </c>
      <c r="L19" s="57">
        <v>3591</v>
      </c>
      <c r="M19" s="57">
        <v>2680</v>
      </c>
      <c r="N19" s="57">
        <v>1312</v>
      </c>
      <c r="O19" s="57">
        <v>627</v>
      </c>
      <c r="P19" s="57">
        <v>406</v>
      </c>
      <c r="Q19" s="57">
        <v>285</v>
      </c>
      <c r="R19" s="57">
        <v>252</v>
      </c>
      <c r="S19" s="57">
        <v>174</v>
      </c>
      <c r="T19" s="58">
        <v>25.49</v>
      </c>
    </row>
    <row r="20" spans="1:20" ht="15" customHeight="1" x14ac:dyDescent="0.25">
      <c r="A20" s="57">
        <v>2026</v>
      </c>
      <c r="B20" s="57" t="s">
        <v>244</v>
      </c>
      <c r="C20" s="57" t="s">
        <v>198</v>
      </c>
      <c r="D20" s="57" t="s">
        <v>232</v>
      </c>
      <c r="E20" s="57">
        <v>65036</v>
      </c>
      <c r="F20" s="57">
        <v>685</v>
      </c>
      <c r="G20" s="57">
        <v>64351</v>
      </c>
      <c r="H20" s="57">
        <v>56</v>
      </c>
      <c r="I20" s="57">
        <v>16</v>
      </c>
      <c r="J20" s="57">
        <v>23875</v>
      </c>
      <c r="K20" s="57">
        <v>40404</v>
      </c>
      <c r="L20" s="57">
        <v>9875</v>
      </c>
      <c r="M20" s="57">
        <v>4759</v>
      </c>
      <c r="N20" s="57">
        <v>3241</v>
      </c>
      <c r="O20" s="57">
        <v>2459</v>
      </c>
      <c r="P20" s="57">
        <v>1498</v>
      </c>
      <c r="Q20" s="57">
        <v>910</v>
      </c>
      <c r="R20" s="57">
        <v>645</v>
      </c>
      <c r="S20" s="57">
        <v>488</v>
      </c>
      <c r="T20" s="58">
        <v>62.79</v>
      </c>
    </row>
    <row r="21" spans="1:20" ht="15" customHeight="1" x14ac:dyDescent="0.25">
      <c r="A21" s="57">
        <v>2026</v>
      </c>
      <c r="B21" s="57" t="s">
        <v>244</v>
      </c>
      <c r="C21" s="57" t="s">
        <v>198</v>
      </c>
      <c r="D21" s="57" t="s">
        <v>233</v>
      </c>
      <c r="E21" s="57">
        <v>57621</v>
      </c>
      <c r="F21" s="57">
        <v>506</v>
      </c>
      <c r="G21" s="57">
        <v>57115</v>
      </c>
      <c r="H21" s="57">
        <v>52</v>
      </c>
      <c r="I21" s="57">
        <v>4</v>
      </c>
      <c r="J21" s="57">
        <v>14590</v>
      </c>
      <c r="K21" s="57">
        <v>42469</v>
      </c>
      <c r="L21" s="57">
        <v>7981</v>
      </c>
      <c r="M21" s="57">
        <v>2870</v>
      </c>
      <c r="N21" s="57">
        <v>1758</v>
      </c>
      <c r="O21" s="57">
        <v>1195</v>
      </c>
      <c r="P21" s="57">
        <v>454</v>
      </c>
      <c r="Q21" s="57">
        <v>179</v>
      </c>
      <c r="R21" s="57">
        <v>113</v>
      </c>
      <c r="S21" s="57">
        <v>40</v>
      </c>
      <c r="T21" s="58">
        <v>74.36</v>
      </c>
    </row>
    <row r="22" spans="1:20" ht="15" customHeight="1" x14ac:dyDescent="0.25">
      <c r="A22" s="57">
        <v>2026</v>
      </c>
      <c r="B22" s="57" t="s">
        <v>244</v>
      </c>
      <c r="C22" s="57" t="s">
        <v>198</v>
      </c>
      <c r="D22" s="57" t="s">
        <v>234</v>
      </c>
      <c r="E22" s="57">
        <v>122657</v>
      </c>
      <c r="F22" s="57">
        <v>1191</v>
      </c>
      <c r="G22" s="57">
        <v>121466</v>
      </c>
      <c r="H22" s="57">
        <v>108</v>
      </c>
      <c r="I22" s="57">
        <v>20</v>
      </c>
      <c r="J22" s="57">
        <v>38465</v>
      </c>
      <c r="K22" s="57">
        <v>82873</v>
      </c>
      <c r="L22" s="57">
        <v>17856</v>
      </c>
      <c r="M22" s="57">
        <v>7629</v>
      </c>
      <c r="N22" s="57">
        <v>4999</v>
      </c>
      <c r="O22" s="57">
        <v>3654</v>
      </c>
      <c r="P22" s="57">
        <v>1952</v>
      </c>
      <c r="Q22" s="57">
        <v>1089</v>
      </c>
      <c r="R22" s="57">
        <v>758</v>
      </c>
      <c r="S22" s="57">
        <v>528</v>
      </c>
      <c r="T22" s="58">
        <v>68.23</v>
      </c>
    </row>
    <row r="23" spans="1:20" ht="15" customHeight="1" x14ac:dyDescent="0.25">
      <c r="A23" s="57">
        <v>2026</v>
      </c>
      <c r="B23" s="57" t="s">
        <v>244</v>
      </c>
      <c r="C23" s="57" t="s">
        <v>234</v>
      </c>
      <c r="D23" s="57" t="s">
        <v>234</v>
      </c>
      <c r="E23" s="57">
        <v>135353</v>
      </c>
      <c r="F23" s="57">
        <v>1355</v>
      </c>
      <c r="G23" s="57">
        <v>133998</v>
      </c>
      <c r="H23" s="57">
        <v>118</v>
      </c>
      <c r="I23" s="57">
        <v>20</v>
      </c>
      <c r="J23" s="57">
        <v>47792</v>
      </c>
      <c r="K23" s="57">
        <v>86068</v>
      </c>
      <c r="L23" s="57">
        <v>21447</v>
      </c>
      <c r="M23" s="57">
        <v>10309</v>
      </c>
      <c r="N23" s="57">
        <v>6311</v>
      </c>
      <c r="O23" s="57">
        <v>4281</v>
      </c>
      <c r="P23" s="57">
        <v>2358</v>
      </c>
      <c r="Q23" s="57">
        <v>1374</v>
      </c>
      <c r="R23" s="57">
        <v>1010</v>
      </c>
      <c r="S23" s="57">
        <v>702</v>
      </c>
      <c r="T23" s="58">
        <v>64.23</v>
      </c>
    </row>
    <row r="24" spans="1:20" ht="15" customHeight="1" x14ac:dyDescent="0.25">
      <c r="A24" s="57">
        <v>2026</v>
      </c>
      <c r="B24" s="57" t="s">
        <v>670</v>
      </c>
      <c r="C24" s="57" t="s">
        <v>235</v>
      </c>
      <c r="D24" s="57" t="s">
        <v>232</v>
      </c>
      <c r="E24" s="57">
        <v>1617</v>
      </c>
      <c r="F24" s="57">
        <v>55</v>
      </c>
      <c r="G24" s="57">
        <v>1562</v>
      </c>
      <c r="H24" s="57">
        <v>41</v>
      </c>
      <c r="I24" s="57">
        <v>0</v>
      </c>
      <c r="J24" s="57">
        <v>1429</v>
      </c>
      <c r="K24" s="57">
        <v>92</v>
      </c>
      <c r="L24" s="57">
        <v>195</v>
      </c>
      <c r="M24" s="57">
        <v>198</v>
      </c>
      <c r="N24" s="57">
        <v>231</v>
      </c>
      <c r="O24" s="57">
        <v>188</v>
      </c>
      <c r="P24" s="57">
        <v>158</v>
      </c>
      <c r="Q24" s="57">
        <v>138</v>
      </c>
      <c r="R24" s="57">
        <v>152</v>
      </c>
      <c r="S24" s="57">
        <v>169</v>
      </c>
      <c r="T24" s="58">
        <v>5.89</v>
      </c>
    </row>
    <row r="25" spans="1:20" ht="15" customHeight="1" x14ac:dyDescent="0.25">
      <c r="A25" s="57">
        <v>2026</v>
      </c>
      <c r="B25" s="57" t="s">
        <v>670</v>
      </c>
      <c r="C25" s="57" t="s">
        <v>235</v>
      </c>
      <c r="D25" s="57" t="s">
        <v>233</v>
      </c>
      <c r="E25" s="57">
        <v>1966</v>
      </c>
      <c r="F25" s="57">
        <v>67</v>
      </c>
      <c r="G25" s="57">
        <v>1899</v>
      </c>
      <c r="H25" s="57">
        <v>38</v>
      </c>
      <c r="I25" s="57">
        <v>0</v>
      </c>
      <c r="J25" s="57">
        <v>1666</v>
      </c>
      <c r="K25" s="57">
        <v>195</v>
      </c>
      <c r="L25" s="57">
        <v>360</v>
      </c>
      <c r="M25" s="57">
        <v>501</v>
      </c>
      <c r="N25" s="57">
        <v>347</v>
      </c>
      <c r="O25" s="57">
        <v>174</v>
      </c>
      <c r="P25" s="57">
        <v>117</v>
      </c>
      <c r="Q25" s="57">
        <v>77</v>
      </c>
      <c r="R25" s="57">
        <v>52</v>
      </c>
      <c r="S25" s="57">
        <v>38</v>
      </c>
      <c r="T25" s="58">
        <v>10.27</v>
      </c>
    </row>
    <row r="26" spans="1:20" ht="15" customHeight="1" x14ac:dyDescent="0.25">
      <c r="A26" s="57">
        <v>2026</v>
      </c>
      <c r="B26" s="57" t="s">
        <v>670</v>
      </c>
      <c r="C26" s="57" t="s">
        <v>235</v>
      </c>
      <c r="D26" s="57" t="s">
        <v>234</v>
      </c>
      <c r="E26" s="57">
        <v>3583</v>
      </c>
      <c r="F26" s="57">
        <v>122</v>
      </c>
      <c r="G26" s="57">
        <v>3461</v>
      </c>
      <c r="H26" s="57">
        <v>79</v>
      </c>
      <c r="I26" s="57">
        <v>0</v>
      </c>
      <c r="J26" s="57">
        <v>3095</v>
      </c>
      <c r="K26" s="57">
        <v>287</v>
      </c>
      <c r="L26" s="57">
        <v>555</v>
      </c>
      <c r="M26" s="57">
        <v>699</v>
      </c>
      <c r="N26" s="57">
        <v>578</v>
      </c>
      <c r="O26" s="57">
        <v>362</v>
      </c>
      <c r="P26" s="57">
        <v>275</v>
      </c>
      <c r="Q26" s="57">
        <v>215</v>
      </c>
      <c r="R26" s="57">
        <v>204</v>
      </c>
      <c r="S26" s="57">
        <v>207</v>
      </c>
      <c r="T26" s="58">
        <v>8.2899999999999991</v>
      </c>
    </row>
    <row r="27" spans="1:20" ht="15" customHeight="1" x14ac:dyDescent="0.25">
      <c r="A27" s="57">
        <v>2026</v>
      </c>
      <c r="B27" s="57" t="s">
        <v>670</v>
      </c>
      <c r="C27" s="57" t="s">
        <v>198</v>
      </c>
      <c r="D27" s="57" t="s">
        <v>232</v>
      </c>
      <c r="E27" s="57">
        <v>7249</v>
      </c>
      <c r="F27" s="57">
        <v>198</v>
      </c>
      <c r="G27" s="57">
        <v>7051</v>
      </c>
      <c r="H27" s="57">
        <v>103</v>
      </c>
      <c r="I27" s="57">
        <v>3</v>
      </c>
      <c r="J27" s="57">
        <v>5677</v>
      </c>
      <c r="K27" s="57">
        <v>1268</v>
      </c>
      <c r="L27" s="57">
        <v>1110</v>
      </c>
      <c r="M27" s="57">
        <v>949</v>
      </c>
      <c r="N27" s="57">
        <v>880</v>
      </c>
      <c r="O27" s="57">
        <v>879</v>
      </c>
      <c r="P27" s="57">
        <v>739</v>
      </c>
      <c r="Q27" s="57">
        <v>434</v>
      </c>
      <c r="R27" s="57">
        <v>358</v>
      </c>
      <c r="S27" s="57">
        <v>328</v>
      </c>
      <c r="T27" s="58">
        <v>17.98</v>
      </c>
    </row>
    <row r="28" spans="1:20" ht="15" customHeight="1" x14ac:dyDescent="0.25">
      <c r="A28" s="57">
        <v>2026</v>
      </c>
      <c r="B28" s="57" t="s">
        <v>670</v>
      </c>
      <c r="C28" s="57" t="s">
        <v>198</v>
      </c>
      <c r="D28" s="57" t="s">
        <v>233</v>
      </c>
      <c r="E28" s="57">
        <v>3892</v>
      </c>
      <c r="F28" s="57">
        <v>91</v>
      </c>
      <c r="G28" s="57">
        <v>3801</v>
      </c>
      <c r="H28" s="57">
        <v>68</v>
      </c>
      <c r="I28" s="57">
        <v>1</v>
      </c>
      <c r="J28" s="57">
        <v>2709</v>
      </c>
      <c r="K28" s="57">
        <v>1023</v>
      </c>
      <c r="L28" s="57">
        <v>806</v>
      </c>
      <c r="M28" s="57">
        <v>555</v>
      </c>
      <c r="N28" s="57">
        <v>452</v>
      </c>
      <c r="O28" s="57">
        <v>441</v>
      </c>
      <c r="P28" s="57">
        <v>222</v>
      </c>
      <c r="Q28" s="57">
        <v>117</v>
      </c>
      <c r="R28" s="57">
        <v>65</v>
      </c>
      <c r="S28" s="57">
        <v>51</v>
      </c>
      <c r="T28" s="58">
        <v>26.91</v>
      </c>
    </row>
    <row r="29" spans="1:20" ht="15" customHeight="1" x14ac:dyDescent="0.25">
      <c r="A29" s="57">
        <v>2026</v>
      </c>
      <c r="B29" s="57" t="s">
        <v>670</v>
      </c>
      <c r="C29" s="57" t="s">
        <v>198</v>
      </c>
      <c r="D29" s="57" t="s">
        <v>234</v>
      </c>
      <c r="E29" s="57">
        <v>11141</v>
      </c>
      <c r="F29" s="57">
        <v>289</v>
      </c>
      <c r="G29" s="57">
        <v>10852</v>
      </c>
      <c r="H29" s="57">
        <v>171</v>
      </c>
      <c r="I29" s="57">
        <v>4</v>
      </c>
      <c r="J29" s="57">
        <v>8386</v>
      </c>
      <c r="K29" s="57">
        <v>2291</v>
      </c>
      <c r="L29" s="57">
        <v>1916</v>
      </c>
      <c r="M29" s="57">
        <v>1504</v>
      </c>
      <c r="N29" s="57">
        <v>1332</v>
      </c>
      <c r="O29" s="57">
        <v>1320</v>
      </c>
      <c r="P29" s="57">
        <v>961</v>
      </c>
      <c r="Q29" s="57">
        <v>551</v>
      </c>
      <c r="R29" s="57">
        <v>423</v>
      </c>
      <c r="S29" s="57">
        <v>379</v>
      </c>
      <c r="T29" s="58">
        <v>21.11</v>
      </c>
    </row>
    <row r="30" spans="1:20" ht="15" customHeight="1" x14ac:dyDescent="0.25">
      <c r="A30" s="57">
        <v>2026</v>
      </c>
      <c r="B30" s="57" t="s">
        <v>670</v>
      </c>
      <c r="C30" s="57" t="s">
        <v>234</v>
      </c>
      <c r="D30" s="57" t="s">
        <v>234</v>
      </c>
      <c r="E30" s="57">
        <v>14724</v>
      </c>
      <c r="F30" s="57">
        <v>411</v>
      </c>
      <c r="G30" s="57">
        <v>14313</v>
      </c>
      <c r="H30" s="57">
        <v>250</v>
      </c>
      <c r="I30" s="57">
        <v>4</v>
      </c>
      <c r="J30" s="57">
        <v>11481</v>
      </c>
      <c r="K30" s="57">
        <v>2578</v>
      </c>
      <c r="L30" s="57">
        <v>2471</v>
      </c>
      <c r="M30" s="57">
        <v>2203</v>
      </c>
      <c r="N30" s="57">
        <v>1910</v>
      </c>
      <c r="O30" s="57">
        <v>1682</v>
      </c>
      <c r="P30" s="57">
        <v>1236</v>
      </c>
      <c r="Q30" s="57">
        <v>766</v>
      </c>
      <c r="R30" s="57">
        <v>627</v>
      </c>
      <c r="S30" s="57">
        <v>586</v>
      </c>
      <c r="T30" s="58">
        <v>18.010000000000002</v>
      </c>
    </row>
    <row r="31" spans="1:20" ht="15" customHeight="1" x14ac:dyDescent="0.25">
      <c r="A31" s="59">
        <v>2026</v>
      </c>
      <c r="B31" s="59" t="s">
        <v>144</v>
      </c>
      <c r="C31" s="59" t="s">
        <v>144</v>
      </c>
      <c r="D31" s="59" t="s">
        <v>234</v>
      </c>
      <c r="E31" s="59">
        <v>150077</v>
      </c>
      <c r="F31" s="59">
        <v>1766</v>
      </c>
      <c r="G31" s="59">
        <v>148311</v>
      </c>
      <c r="H31" s="59">
        <v>368</v>
      </c>
      <c r="I31" s="59">
        <v>24</v>
      </c>
      <c r="J31" s="59">
        <v>59273</v>
      </c>
      <c r="K31" s="59">
        <v>88646</v>
      </c>
      <c r="L31" s="59">
        <v>23918</v>
      </c>
      <c r="M31" s="59">
        <v>12512</v>
      </c>
      <c r="N31" s="59">
        <v>8221</v>
      </c>
      <c r="O31" s="59">
        <v>5963</v>
      </c>
      <c r="P31" s="59">
        <v>3594</v>
      </c>
      <c r="Q31" s="59">
        <v>2140</v>
      </c>
      <c r="R31" s="59">
        <v>1637</v>
      </c>
      <c r="S31" s="59">
        <v>1288</v>
      </c>
      <c r="T31" s="60">
        <v>59.77</v>
      </c>
    </row>
  </sheetData>
  <autoFilter ref="A1:T31" xr:uid="{00000000-0009-0000-0000-00003A000000}"/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9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36" customWidth="1"/>
    <col min="2" max="2" width="8" customWidth="1"/>
    <col min="3" max="3" width="14" customWidth="1"/>
    <col min="4" max="4" width="15" customWidth="1"/>
    <col min="5" max="5" width="17" customWidth="1"/>
    <col min="6" max="6" width="13" customWidth="1"/>
    <col min="7" max="7" width="15" customWidth="1"/>
    <col min="8" max="8" width="17" customWidth="1"/>
    <col min="9" max="9" width="13" customWidth="1"/>
    <col min="10" max="10" width="14" customWidth="1"/>
    <col min="11" max="11" width="16" customWidth="1"/>
    <col min="12" max="12" width="12" customWidth="1"/>
  </cols>
  <sheetData>
    <row r="1" spans="1:12" ht="26.25" customHeight="1" x14ac:dyDescent="0.25">
      <c r="A1" s="19" t="s">
        <v>383</v>
      </c>
      <c r="B1" s="19" t="s">
        <v>121</v>
      </c>
      <c r="C1" s="19" t="s">
        <v>671</v>
      </c>
      <c r="D1" s="19" t="s">
        <v>672</v>
      </c>
      <c r="E1" s="19" t="s">
        <v>673</v>
      </c>
      <c r="F1" s="19" t="s">
        <v>674</v>
      </c>
      <c r="G1" s="19" t="s">
        <v>675</v>
      </c>
      <c r="H1" s="19" t="s">
        <v>676</v>
      </c>
      <c r="I1" s="19" t="s">
        <v>677</v>
      </c>
      <c r="J1" s="19" t="s">
        <v>678</v>
      </c>
      <c r="K1" s="19" t="s">
        <v>679</v>
      </c>
      <c r="L1" s="19" t="s">
        <v>680</v>
      </c>
    </row>
    <row r="2" spans="1:12" ht="15" customHeight="1" x14ac:dyDescent="0.25">
      <c r="A2" s="55" t="s">
        <v>681</v>
      </c>
      <c r="B2" s="55">
        <v>2025</v>
      </c>
      <c r="C2" s="55">
        <v>16</v>
      </c>
      <c r="D2" s="55">
        <v>237</v>
      </c>
      <c r="E2" s="55">
        <v>143</v>
      </c>
      <c r="F2" s="55">
        <v>380</v>
      </c>
      <c r="G2" s="55">
        <v>188</v>
      </c>
      <c r="H2" s="55">
        <v>110</v>
      </c>
      <c r="I2" s="55">
        <v>298</v>
      </c>
      <c r="J2" s="56">
        <v>79.319999999999993</v>
      </c>
      <c r="K2" s="56">
        <v>76.92</v>
      </c>
      <c r="L2" s="56">
        <v>78.42</v>
      </c>
    </row>
    <row r="3" spans="1:12" ht="15" customHeight="1" x14ac:dyDescent="0.25">
      <c r="A3" s="57" t="s">
        <v>681</v>
      </c>
      <c r="B3" s="57">
        <v>2026</v>
      </c>
      <c r="C3" s="57">
        <v>16</v>
      </c>
      <c r="D3" s="57">
        <v>191</v>
      </c>
      <c r="E3" s="57">
        <v>141</v>
      </c>
      <c r="F3" s="57">
        <v>332</v>
      </c>
      <c r="G3" s="57">
        <v>190</v>
      </c>
      <c r="H3" s="57">
        <v>128</v>
      </c>
      <c r="I3" s="57">
        <v>318</v>
      </c>
      <c r="J3" s="58">
        <v>99.48</v>
      </c>
      <c r="K3" s="58">
        <v>90.78</v>
      </c>
      <c r="L3" s="58">
        <v>95.78</v>
      </c>
    </row>
    <row r="4" spans="1:12" ht="15" customHeight="1" x14ac:dyDescent="0.25">
      <c r="A4" s="57" t="s">
        <v>682</v>
      </c>
      <c r="B4" s="57">
        <v>2026</v>
      </c>
      <c r="C4" s="57">
        <v>35</v>
      </c>
      <c r="D4" s="57">
        <v>140</v>
      </c>
      <c r="E4" s="57">
        <v>27</v>
      </c>
      <c r="F4" s="57">
        <v>167</v>
      </c>
      <c r="G4" s="57">
        <v>113</v>
      </c>
      <c r="H4" s="57">
        <v>19</v>
      </c>
      <c r="I4" s="57">
        <v>132</v>
      </c>
      <c r="J4" s="58">
        <v>80.709999999999994</v>
      </c>
      <c r="K4" s="58">
        <v>70.37</v>
      </c>
      <c r="L4" s="58">
        <v>79.040000000000006</v>
      </c>
    </row>
    <row r="5" spans="1:12" ht="15" customHeight="1" x14ac:dyDescent="0.25">
      <c r="A5" s="55" t="s">
        <v>683</v>
      </c>
      <c r="B5" s="55">
        <v>2025</v>
      </c>
      <c r="C5" s="55">
        <v>14</v>
      </c>
      <c r="D5" s="55">
        <v>157</v>
      </c>
      <c r="E5" s="55">
        <v>17</v>
      </c>
      <c r="F5" s="55">
        <v>174</v>
      </c>
      <c r="G5" s="55">
        <v>135</v>
      </c>
      <c r="H5" s="55">
        <v>8</v>
      </c>
      <c r="I5" s="55">
        <v>143</v>
      </c>
      <c r="J5" s="56">
        <v>85.99</v>
      </c>
      <c r="K5" s="56">
        <v>47.06</v>
      </c>
      <c r="L5" s="56">
        <v>82.18</v>
      </c>
    </row>
    <row r="6" spans="1:12" ht="15" customHeight="1" x14ac:dyDescent="0.25">
      <c r="A6" s="57" t="s">
        <v>683</v>
      </c>
      <c r="B6" s="57">
        <v>2026</v>
      </c>
      <c r="C6" s="57">
        <v>14</v>
      </c>
      <c r="D6" s="57">
        <v>1</v>
      </c>
      <c r="E6" s="57">
        <v>8</v>
      </c>
      <c r="F6" s="57">
        <v>9</v>
      </c>
      <c r="G6" s="57">
        <v>1</v>
      </c>
      <c r="H6" s="57">
        <v>7</v>
      </c>
      <c r="I6" s="57">
        <v>8</v>
      </c>
      <c r="J6" s="58">
        <v>100</v>
      </c>
      <c r="K6" s="58">
        <v>87.5</v>
      </c>
      <c r="L6" s="58">
        <v>88.89</v>
      </c>
    </row>
    <row r="7" spans="1:12" ht="15" customHeight="1" x14ac:dyDescent="0.25">
      <c r="A7" s="55" t="s">
        <v>684</v>
      </c>
      <c r="B7" s="55">
        <v>2025</v>
      </c>
      <c r="C7" s="55">
        <v>36</v>
      </c>
      <c r="D7" s="55">
        <v>45</v>
      </c>
      <c r="E7" s="55">
        <v>2</v>
      </c>
      <c r="F7" s="55">
        <v>47</v>
      </c>
      <c r="G7" s="55">
        <v>45</v>
      </c>
      <c r="H7" s="55">
        <v>2</v>
      </c>
      <c r="I7" s="55">
        <v>47</v>
      </c>
      <c r="J7" s="56">
        <v>100</v>
      </c>
      <c r="K7" s="56">
        <v>100</v>
      </c>
      <c r="L7" s="56">
        <v>100</v>
      </c>
    </row>
    <row r="8" spans="1:12" ht="15" customHeight="1" x14ac:dyDescent="0.25">
      <c r="A8" s="57" t="s">
        <v>684</v>
      </c>
      <c r="B8" s="57">
        <v>2026</v>
      </c>
      <c r="C8" s="57">
        <v>52</v>
      </c>
      <c r="D8" s="57">
        <v>44</v>
      </c>
      <c r="E8" s="57">
        <v>7</v>
      </c>
      <c r="F8" s="57">
        <v>51</v>
      </c>
      <c r="G8" s="57">
        <v>12</v>
      </c>
      <c r="H8" s="57">
        <v>3</v>
      </c>
      <c r="I8" s="57">
        <v>15</v>
      </c>
      <c r="J8" s="58">
        <v>27.27</v>
      </c>
      <c r="K8" s="58">
        <v>42.86</v>
      </c>
      <c r="L8" s="58">
        <v>29.41</v>
      </c>
    </row>
    <row r="9" spans="1:12" ht="15" customHeight="1" x14ac:dyDescent="0.25">
      <c r="A9" s="55" t="s">
        <v>685</v>
      </c>
      <c r="B9" s="55">
        <v>2025</v>
      </c>
      <c r="C9" s="55">
        <v>7</v>
      </c>
      <c r="D9" s="55">
        <v>64978</v>
      </c>
      <c r="E9" s="55">
        <v>5823</v>
      </c>
      <c r="F9" s="55">
        <v>70801</v>
      </c>
      <c r="G9" s="55">
        <v>56712</v>
      </c>
      <c r="H9" s="55">
        <v>3094</v>
      </c>
      <c r="I9" s="55">
        <v>59806</v>
      </c>
      <c r="J9" s="56">
        <v>87.28</v>
      </c>
      <c r="K9" s="56">
        <v>53.13</v>
      </c>
      <c r="L9" s="56">
        <v>84.47</v>
      </c>
    </row>
    <row r="10" spans="1:12" ht="15" customHeight="1" x14ac:dyDescent="0.25">
      <c r="A10" s="57" t="s">
        <v>685</v>
      </c>
      <c r="B10" s="57">
        <v>2026</v>
      </c>
      <c r="C10" s="57">
        <v>7</v>
      </c>
      <c r="D10" s="57">
        <v>2321</v>
      </c>
      <c r="E10" s="57">
        <v>1462</v>
      </c>
      <c r="F10" s="57">
        <v>3783</v>
      </c>
      <c r="G10" s="57">
        <v>1865</v>
      </c>
      <c r="H10" s="57">
        <v>887</v>
      </c>
      <c r="I10" s="57">
        <v>2752</v>
      </c>
      <c r="J10" s="58">
        <v>80.349999999999994</v>
      </c>
      <c r="K10" s="58">
        <v>60.67</v>
      </c>
      <c r="L10" s="58">
        <v>72.75</v>
      </c>
    </row>
    <row r="11" spans="1:12" ht="15" customHeight="1" x14ac:dyDescent="0.25">
      <c r="A11" s="57" t="s">
        <v>685</v>
      </c>
      <c r="B11" s="57">
        <v>2026</v>
      </c>
      <c r="C11" s="57">
        <v>38</v>
      </c>
      <c r="D11" s="57">
        <v>58315</v>
      </c>
      <c r="E11" s="57">
        <v>3861</v>
      </c>
      <c r="F11" s="57">
        <v>62176</v>
      </c>
      <c r="G11" s="57">
        <v>52841</v>
      </c>
      <c r="H11" s="57">
        <v>2091</v>
      </c>
      <c r="I11" s="57">
        <v>54932</v>
      </c>
      <c r="J11" s="58">
        <v>90.61</v>
      </c>
      <c r="K11" s="58">
        <v>54.16</v>
      </c>
      <c r="L11" s="58">
        <v>88.35</v>
      </c>
    </row>
    <row r="12" spans="1:12" ht="15" customHeight="1" x14ac:dyDescent="0.25">
      <c r="A12" s="57" t="s">
        <v>686</v>
      </c>
      <c r="B12" s="57">
        <v>2026</v>
      </c>
      <c r="C12" s="57">
        <v>44</v>
      </c>
      <c r="D12" s="57">
        <v>11</v>
      </c>
      <c r="E12" s="57">
        <v>0</v>
      </c>
      <c r="F12" s="57">
        <v>11</v>
      </c>
      <c r="G12" s="57">
        <v>11</v>
      </c>
      <c r="H12" s="57">
        <v>0</v>
      </c>
      <c r="I12" s="57">
        <v>11</v>
      </c>
      <c r="J12" s="58">
        <v>100</v>
      </c>
      <c r="K12" s="58">
        <v>0</v>
      </c>
      <c r="L12" s="58">
        <v>100</v>
      </c>
    </row>
    <row r="13" spans="1:12" ht="15" customHeight="1" x14ac:dyDescent="0.25">
      <c r="A13" s="55" t="s">
        <v>687</v>
      </c>
      <c r="B13" s="55">
        <v>2025</v>
      </c>
      <c r="C13" s="55">
        <v>6</v>
      </c>
      <c r="D13" s="55">
        <v>122517</v>
      </c>
      <c r="E13" s="55">
        <v>12686</v>
      </c>
      <c r="F13" s="55">
        <v>135203</v>
      </c>
      <c r="G13" s="55">
        <v>108918</v>
      </c>
      <c r="H13" s="55">
        <v>6577</v>
      </c>
      <c r="I13" s="55">
        <v>115495</v>
      </c>
      <c r="J13" s="56">
        <v>88.9</v>
      </c>
      <c r="K13" s="56">
        <v>51.84</v>
      </c>
      <c r="L13" s="56">
        <v>85.42</v>
      </c>
    </row>
    <row r="14" spans="1:12" ht="15" customHeight="1" x14ac:dyDescent="0.25">
      <c r="A14" s="57" t="s">
        <v>687</v>
      </c>
      <c r="B14" s="57">
        <v>2026</v>
      </c>
      <c r="C14" s="57">
        <v>6</v>
      </c>
      <c r="D14" s="57">
        <v>4588</v>
      </c>
      <c r="E14" s="57">
        <v>3454</v>
      </c>
      <c r="F14" s="57">
        <v>8042</v>
      </c>
      <c r="G14" s="57">
        <v>2603</v>
      </c>
      <c r="H14" s="57">
        <v>1296</v>
      </c>
      <c r="I14" s="57">
        <v>3899</v>
      </c>
      <c r="J14" s="58">
        <v>56.73</v>
      </c>
      <c r="K14" s="58">
        <v>37.520000000000003</v>
      </c>
      <c r="L14" s="58">
        <v>48.48</v>
      </c>
    </row>
    <row r="15" spans="1:12" ht="15" customHeight="1" x14ac:dyDescent="0.25">
      <c r="A15" s="57" t="s">
        <v>687</v>
      </c>
      <c r="B15" s="57">
        <v>2026</v>
      </c>
      <c r="C15" s="57">
        <v>37</v>
      </c>
      <c r="D15" s="57">
        <v>121323</v>
      </c>
      <c r="E15" s="57">
        <v>10777</v>
      </c>
      <c r="F15" s="57">
        <v>132100</v>
      </c>
      <c r="G15" s="57">
        <v>104518</v>
      </c>
      <c r="H15" s="57">
        <v>5195</v>
      </c>
      <c r="I15" s="57">
        <v>109713</v>
      </c>
      <c r="J15" s="58">
        <v>86.15</v>
      </c>
      <c r="K15" s="58">
        <v>48.2</v>
      </c>
      <c r="L15" s="58">
        <v>83.05</v>
      </c>
    </row>
    <row r="16" spans="1:12" ht="15" customHeight="1" x14ac:dyDescent="0.25">
      <c r="A16" s="57" t="s">
        <v>688</v>
      </c>
      <c r="B16" s="57">
        <v>2026</v>
      </c>
      <c r="C16" s="57">
        <v>45</v>
      </c>
      <c r="D16" s="57">
        <v>1647</v>
      </c>
      <c r="E16" s="57">
        <v>362</v>
      </c>
      <c r="F16" s="57">
        <v>2009</v>
      </c>
      <c r="G16" s="57">
        <v>1230</v>
      </c>
      <c r="H16" s="57">
        <v>175</v>
      </c>
      <c r="I16" s="57">
        <v>1405</v>
      </c>
      <c r="J16" s="58">
        <v>74.680000000000007</v>
      </c>
      <c r="K16" s="58">
        <v>48.34</v>
      </c>
      <c r="L16" s="58">
        <v>69.94</v>
      </c>
    </row>
    <row r="17" spans="1:12" ht="15" customHeight="1" x14ac:dyDescent="0.25">
      <c r="A17" s="55" t="s">
        <v>689</v>
      </c>
      <c r="B17" s="55">
        <v>2025</v>
      </c>
      <c r="C17" s="55">
        <v>9</v>
      </c>
      <c r="D17" s="55">
        <v>4152</v>
      </c>
      <c r="E17" s="55">
        <v>2365</v>
      </c>
      <c r="F17" s="55">
        <v>6517</v>
      </c>
      <c r="G17" s="55">
        <v>3335</v>
      </c>
      <c r="H17" s="55">
        <v>1584</v>
      </c>
      <c r="I17" s="55">
        <v>4919</v>
      </c>
      <c r="J17" s="56">
        <v>80.319999999999993</v>
      </c>
      <c r="K17" s="56">
        <v>66.98</v>
      </c>
      <c r="L17" s="56">
        <v>75.48</v>
      </c>
    </row>
    <row r="18" spans="1:12" ht="15" customHeight="1" x14ac:dyDescent="0.25">
      <c r="A18" s="57" t="s">
        <v>689</v>
      </c>
      <c r="B18" s="57">
        <v>2026</v>
      </c>
      <c r="C18" s="57">
        <v>9</v>
      </c>
      <c r="D18" s="57">
        <v>3322</v>
      </c>
      <c r="E18" s="57">
        <v>2246</v>
      </c>
      <c r="F18" s="57">
        <v>5568</v>
      </c>
      <c r="G18" s="57">
        <v>2722</v>
      </c>
      <c r="H18" s="57">
        <v>1576</v>
      </c>
      <c r="I18" s="57">
        <v>4298</v>
      </c>
      <c r="J18" s="58">
        <v>81.94</v>
      </c>
      <c r="K18" s="58">
        <v>70.17</v>
      </c>
      <c r="L18" s="58">
        <v>77.19</v>
      </c>
    </row>
    <row r="19" spans="1:12" ht="15" customHeight="1" x14ac:dyDescent="0.25">
      <c r="A19" s="57" t="s">
        <v>690</v>
      </c>
      <c r="B19" s="57">
        <v>2026</v>
      </c>
      <c r="C19" s="57">
        <v>40</v>
      </c>
      <c r="D19" s="57">
        <v>67</v>
      </c>
      <c r="E19" s="57">
        <v>7</v>
      </c>
      <c r="F19" s="57">
        <v>74</v>
      </c>
      <c r="G19" s="57">
        <v>30</v>
      </c>
      <c r="H19" s="57">
        <v>2</v>
      </c>
      <c r="I19" s="57">
        <v>32</v>
      </c>
      <c r="J19" s="58">
        <v>44.78</v>
      </c>
      <c r="K19" s="58">
        <v>28.57</v>
      </c>
      <c r="L19" s="58">
        <v>43.24</v>
      </c>
    </row>
    <row r="20" spans="1:12" ht="15" customHeight="1" x14ac:dyDescent="0.25">
      <c r="A20" s="55" t="s">
        <v>691</v>
      </c>
      <c r="B20" s="55">
        <v>2025</v>
      </c>
      <c r="C20" s="55">
        <v>18</v>
      </c>
      <c r="D20" s="55">
        <v>52</v>
      </c>
      <c r="E20" s="55">
        <v>2</v>
      </c>
      <c r="F20" s="55">
        <v>54</v>
      </c>
      <c r="G20" s="55">
        <v>36</v>
      </c>
      <c r="H20" s="55">
        <v>2</v>
      </c>
      <c r="I20" s="55">
        <v>38</v>
      </c>
      <c r="J20" s="56">
        <v>69.23</v>
      </c>
      <c r="K20" s="56">
        <v>100</v>
      </c>
      <c r="L20" s="56">
        <v>70.37</v>
      </c>
    </row>
    <row r="21" spans="1:12" ht="15" customHeight="1" x14ac:dyDescent="0.25">
      <c r="A21" s="57" t="s">
        <v>691</v>
      </c>
      <c r="B21" s="57">
        <v>2026</v>
      </c>
      <c r="C21" s="57">
        <v>18</v>
      </c>
      <c r="D21" s="57">
        <v>2</v>
      </c>
      <c r="E21" s="57">
        <v>1</v>
      </c>
      <c r="F21" s="57">
        <v>3</v>
      </c>
      <c r="G21" s="57">
        <v>0</v>
      </c>
      <c r="H21" s="57">
        <v>0</v>
      </c>
      <c r="I21" s="57">
        <v>0</v>
      </c>
      <c r="J21" s="58">
        <v>0</v>
      </c>
      <c r="K21" s="58">
        <v>0</v>
      </c>
      <c r="L21" s="58">
        <v>0</v>
      </c>
    </row>
    <row r="22" spans="1:12" ht="15" customHeight="1" x14ac:dyDescent="0.25">
      <c r="A22" s="55" t="s">
        <v>692</v>
      </c>
      <c r="B22" s="55">
        <v>2025</v>
      </c>
      <c r="C22" s="55">
        <v>15</v>
      </c>
      <c r="D22" s="55">
        <v>13</v>
      </c>
      <c r="E22" s="55">
        <v>24</v>
      </c>
      <c r="F22" s="55">
        <v>37</v>
      </c>
      <c r="G22" s="55">
        <v>12</v>
      </c>
      <c r="H22" s="55">
        <v>15</v>
      </c>
      <c r="I22" s="55">
        <v>27</v>
      </c>
      <c r="J22" s="56">
        <v>92.31</v>
      </c>
      <c r="K22" s="56">
        <v>62.5</v>
      </c>
      <c r="L22" s="56">
        <v>72.97</v>
      </c>
    </row>
    <row r="23" spans="1:12" ht="15" customHeight="1" x14ac:dyDescent="0.25">
      <c r="A23" s="57" t="s">
        <v>692</v>
      </c>
      <c r="B23" s="57">
        <v>2026</v>
      </c>
      <c r="C23" s="57">
        <v>15</v>
      </c>
      <c r="D23" s="57">
        <v>0</v>
      </c>
      <c r="E23" s="57">
        <v>10</v>
      </c>
      <c r="F23" s="57">
        <v>10</v>
      </c>
      <c r="G23" s="57">
        <v>0</v>
      </c>
      <c r="H23" s="57">
        <v>9</v>
      </c>
      <c r="I23" s="57">
        <v>9</v>
      </c>
      <c r="J23" s="58">
        <v>0</v>
      </c>
      <c r="K23" s="58">
        <v>90</v>
      </c>
      <c r="L23" s="58">
        <v>90</v>
      </c>
    </row>
    <row r="24" spans="1:12" ht="15" customHeight="1" x14ac:dyDescent="0.25">
      <c r="A24" s="55" t="s">
        <v>693</v>
      </c>
      <c r="B24" s="55">
        <v>2025</v>
      </c>
      <c r="C24" s="55">
        <v>22</v>
      </c>
      <c r="D24" s="55">
        <v>63777</v>
      </c>
      <c r="E24" s="55">
        <v>8076</v>
      </c>
      <c r="F24" s="55">
        <v>71853</v>
      </c>
      <c r="G24" s="55">
        <v>55523</v>
      </c>
      <c r="H24" s="55">
        <v>4512</v>
      </c>
      <c r="I24" s="55">
        <v>60035</v>
      </c>
      <c r="J24" s="56">
        <v>87.06</v>
      </c>
      <c r="K24" s="56">
        <v>55.87</v>
      </c>
      <c r="L24" s="56">
        <v>83.55</v>
      </c>
    </row>
    <row r="25" spans="1:12" ht="15" customHeight="1" x14ac:dyDescent="0.25">
      <c r="A25" s="57" t="s">
        <v>693</v>
      </c>
      <c r="B25" s="57">
        <v>2026</v>
      </c>
      <c r="C25" s="57">
        <v>21</v>
      </c>
      <c r="D25" s="57">
        <v>1861</v>
      </c>
      <c r="E25" s="57">
        <v>1659</v>
      </c>
      <c r="F25" s="57">
        <v>3520</v>
      </c>
      <c r="G25" s="57">
        <v>667</v>
      </c>
      <c r="H25" s="57">
        <v>484</v>
      </c>
      <c r="I25" s="57">
        <v>1151</v>
      </c>
      <c r="J25" s="58">
        <v>35.840000000000003</v>
      </c>
      <c r="K25" s="58">
        <v>29.17</v>
      </c>
      <c r="L25" s="58">
        <v>32.700000000000003</v>
      </c>
    </row>
    <row r="26" spans="1:12" ht="15" customHeight="1" x14ac:dyDescent="0.25">
      <c r="A26" s="57" t="s">
        <v>693</v>
      </c>
      <c r="B26" s="57">
        <v>2026</v>
      </c>
      <c r="C26" s="57">
        <v>39</v>
      </c>
      <c r="D26" s="57">
        <v>67210</v>
      </c>
      <c r="E26" s="57">
        <v>7508</v>
      </c>
      <c r="F26" s="57">
        <v>74718</v>
      </c>
      <c r="G26" s="57">
        <v>58245</v>
      </c>
      <c r="H26" s="57">
        <v>4244</v>
      </c>
      <c r="I26" s="57">
        <v>62489</v>
      </c>
      <c r="J26" s="58">
        <v>86.66</v>
      </c>
      <c r="K26" s="58">
        <v>56.53</v>
      </c>
      <c r="L26" s="58">
        <v>83.63</v>
      </c>
    </row>
    <row r="27" spans="1:12" ht="15" customHeight="1" x14ac:dyDescent="0.25">
      <c r="A27" s="55" t="s">
        <v>694</v>
      </c>
      <c r="B27" s="55">
        <v>2025</v>
      </c>
      <c r="C27" s="55">
        <v>38</v>
      </c>
      <c r="D27" s="55">
        <v>43</v>
      </c>
      <c r="E27" s="55">
        <v>3</v>
      </c>
      <c r="F27" s="55">
        <v>46</v>
      </c>
      <c r="G27" s="55">
        <v>43</v>
      </c>
      <c r="H27" s="55">
        <v>3</v>
      </c>
      <c r="I27" s="55">
        <v>46</v>
      </c>
      <c r="J27" s="56">
        <v>100</v>
      </c>
      <c r="K27" s="56">
        <v>100</v>
      </c>
      <c r="L27" s="56">
        <v>100</v>
      </c>
    </row>
    <row r="28" spans="1:12" ht="15" customHeight="1" x14ac:dyDescent="0.25">
      <c r="A28" s="57" t="s">
        <v>694</v>
      </c>
      <c r="B28" s="57">
        <v>2026</v>
      </c>
      <c r="C28" s="57">
        <v>54</v>
      </c>
      <c r="D28" s="57">
        <v>42</v>
      </c>
      <c r="E28" s="57">
        <v>7</v>
      </c>
      <c r="F28" s="57">
        <v>49</v>
      </c>
      <c r="G28" s="57">
        <v>38</v>
      </c>
      <c r="H28" s="57">
        <v>7</v>
      </c>
      <c r="I28" s="57">
        <v>45</v>
      </c>
      <c r="J28" s="58">
        <v>90.48</v>
      </c>
      <c r="K28" s="58">
        <v>100</v>
      </c>
      <c r="L28" s="58">
        <v>91.84</v>
      </c>
    </row>
    <row r="29" spans="1:12" ht="15" customHeight="1" x14ac:dyDescent="0.25">
      <c r="A29" s="55" t="s">
        <v>695</v>
      </c>
      <c r="B29" s="55">
        <v>2025</v>
      </c>
      <c r="C29" s="55">
        <v>26</v>
      </c>
      <c r="D29" s="55">
        <v>124</v>
      </c>
      <c r="E29" s="55">
        <v>12</v>
      </c>
      <c r="F29" s="55">
        <v>136</v>
      </c>
      <c r="G29" s="55">
        <v>62</v>
      </c>
      <c r="H29" s="55">
        <v>2</v>
      </c>
      <c r="I29" s="55">
        <v>64</v>
      </c>
      <c r="J29" s="56">
        <v>50</v>
      </c>
      <c r="K29" s="56">
        <v>16.670000000000002</v>
      </c>
      <c r="L29" s="56">
        <v>47.06</v>
      </c>
    </row>
    <row r="30" spans="1:12" ht="15" customHeight="1" x14ac:dyDescent="0.25">
      <c r="A30" s="57" t="s">
        <v>695</v>
      </c>
      <c r="B30" s="57">
        <v>2026</v>
      </c>
      <c r="C30" s="57">
        <v>25</v>
      </c>
      <c r="D30" s="57">
        <v>132</v>
      </c>
      <c r="E30" s="57">
        <v>9</v>
      </c>
      <c r="F30" s="57">
        <v>141</v>
      </c>
      <c r="G30" s="57">
        <v>127</v>
      </c>
      <c r="H30" s="57">
        <v>6</v>
      </c>
      <c r="I30" s="57">
        <v>133</v>
      </c>
      <c r="J30" s="58">
        <v>96.21</v>
      </c>
      <c r="K30" s="58">
        <v>66.67</v>
      </c>
      <c r="L30" s="58">
        <v>94.33</v>
      </c>
    </row>
    <row r="31" spans="1:12" ht="15" customHeight="1" x14ac:dyDescent="0.25">
      <c r="A31" s="55" t="s">
        <v>696</v>
      </c>
      <c r="B31" s="55">
        <v>2025</v>
      </c>
      <c r="C31" s="55">
        <v>10</v>
      </c>
      <c r="D31" s="55">
        <v>882</v>
      </c>
      <c r="E31" s="55">
        <v>292</v>
      </c>
      <c r="F31" s="55">
        <v>1174</v>
      </c>
      <c r="G31" s="55">
        <v>740</v>
      </c>
      <c r="H31" s="55">
        <v>167</v>
      </c>
      <c r="I31" s="55">
        <v>907</v>
      </c>
      <c r="J31" s="56">
        <v>83.9</v>
      </c>
      <c r="K31" s="56">
        <v>57.19</v>
      </c>
      <c r="L31" s="56">
        <v>77.260000000000005</v>
      </c>
    </row>
    <row r="32" spans="1:12" ht="15" customHeight="1" x14ac:dyDescent="0.25">
      <c r="A32" s="57" t="s">
        <v>696</v>
      </c>
      <c r="B32" s="57">
        <v>2026</v>
      </c>
      <c r="C32" s="57">
        <v>10</v>
      </c>
      <c r="D32" s="57">
        <v>1100</v>
      </c>
      <c r="E32" s="57">
        <v>293</v>
      </c>
      <c r="F32" s="57">
        <v>1393</v>
      </c>
      <c r="G32" s="57">
        <v>1072</v>
      </c>
      <c r="H32" s="57">
        <v>253</v>
      </c>
      <c r="I32" s="57">
        <v>1325</v>
      </c>
      <c r="J32" s="58">
        <v>97.45</v>
      </c>
      <c r="K32" s="58">
        <v>86.35</v>
      </c>
      <c r="L32" s="58">
        <v>95.12</v>
      </c>
    </row>
    <row r="33" spans="1:12" ht="15" customHeight="1" x14ac:dyDescent="0.25">
      <c r="A33" s="55" t="s">
        <v>697</v>
      </c>
      <c r="B33" s="55">
        <v>2025</v>
      </c>
      <c r="C33" s="55">
        <v>20</v>
      </c>
      <c r="D33" s="55">
        <v>4272</v>
      </c>
      <c r="E33" s="55">
        <v>1824</v>
      </c>
      <c r="F33" s="55">
        <v>6096</v>
      </c>
      <c r="G33" s="55">
        <v>3930</v>
      </c>
      <c r="H33" s="55">
        <v>1376</v>
      </c>
      <c r="I33" s="55">
        <v>5306</v>
      </c>
      <c r="J33" s="56">
        <v>91.99</v>
      </c>
      <c r="K33" s="56">
        <v>75.44</v>
      </c>
      <c r="L33" s="56">
        <v>87.04</v>
      </c>
    </row>
    <row r="34" spans="1:12" ht="15" customHeight="1" x14ac:dyDescent="0.25">
      <c r="A34" s="57" t="s">
        <v>697</v>
      </c>
      <c r="B34" s="57">
        <v>2026</v>
      </c>
      <c r="C34" s="57">
        <v>19</v>
      </c>
      <c r="D34" s="57">
        <v>4852</v>
      </c>
      <c r="E34" s="57">
        <v>2220</v>
      </c>
      <c r="F34" s="57">
        <v>7072</v>
      </c>
      <c r="G34" s="57">
        <v>4417</v>
      </c>
      <c r="H34" s="57">
        <v>1725</v>
      </c>
      <c r="I34" s="57">
        <v>6142</v>
      </c>
      <c r="J34" s="58">
        <v>91.03</v>
      </c>
      <c r="K34" s="58">
        <v>77.7</v>
      </c>
      <c r="L34" s="58">
        <v>86.85</v>
      </c>
    </row>
    <row r="35" spans="1:12" ht="15" customHeight="1" x14ac:dyDescent="0.25">
      <c r="A35" s="55" t="s">
        <v>698</v>
      </c>
      <c r="B35" s="55">
        <v>2025</v>
      </c>
      <c r="C35" s="55">
        <v>37</v>
      </c>
      <c r="D35" s="55">
        <v>8</v>
      </c>
      <c r="E35" s="55">
        <v>0</v>
      </c>
      <c r="F35" s="55">
        <v>8</v>
      </c>
      <c r="G35" s="55">
        <v>8</v>
      </c>
      <c r="H35" s="55">
        <v>0</v>
      </c>
      <c r="I35" s="55">
        <v>8</v>
      </c>
      <c r="J35" s="56">
        <v>100</v>
      </c>
      <c r="K35" s="56">
        <v>0</v>
      </c>
      <c r="L35" s="56">
        <v>100</v>
      </c>
    </row>
    <row r="36" spans="1:12" ht="15" customHeight="1" x14ac:dyDescent="0.25">
      <c r="A36" s="57" t="s">
        <v>698</v>
      </c>
      <c r="B36" s="57">
        <v>2026</v>
      </c>
      <c r="C36" s="57">
        <v>53</v>
      </c>
      <c r="D36" s="57">
        <v>2</v>
      </c>
      <c r="E36" s="57">
        <v>0</v>
      </c>
      <c r="F36" s="57">
        <v>2</v>
      </c>
      <c r="G36" s="57">
        <v>1</v>
      </c>
      <c r="H36" s="57">
        <v>0</v>
      </c>
      <c r="I36" s="57">
        <v>1</v>
      </c>
      <c r="J36" s="58">
        <v>50</v>
      </c>
      <c r="K36" s="58">
        <v>0</v>
      </c>
      <c r="L36" s="58">
        <v>50</v>
      </c>
    </row>
    <row r="37" spans="1:12" ht="15" customHeight="1" x14ac:dyDescent="0.25">
      <c r="A37" s="55" t="s">
        <v>699</v>
      </c>
      <c r="B37" s="55">
        <v>2025</v>
      </c>
      <c r="C37" s="55">
        <v>25</v>
      </c>
      <c r="D37" s="55">
        <v>207</v>
      </c>
      <c r="E37" s="55">
        <v>24</v>
      </c>
      <c r="F37" s="55">
        <v>231</v>
      </c>
      <c r="G37" s="55">
        <v>171</v>
      </c>
      <c r="H37" s="55">
        <v>14</v>
      </c>
      <c r="I37" s="55">
        <v>185</v>
      </c>
      <c r="J37" s="56">
        <v>82.61</v>
      </c>
      <c r="K37" s="56">
        <v>58.33</v>
      </c>
      <c r="L37" s="56">
        <v>80.09</v>
      </c>
    </row>
    <row r="38" spans="1:12" ht="15" customHeight="1" x14ac:dyDescent="0.25">
      <c r="A38" s="57" t="s">
        <v>699</v>
      </c>
      <c r="B38" s="57">
        <v>2026</v>
      </c>
      <c r="C38" s="57">
        <v>24</v>
      </c>
      <c r="D38" s="57">
        <v>27</v>
      </c>
      <c r="E38" s="57">
        <v>16</v>
      </c>
      <c r="F38" s="57">
        <v>43</v>
      </c>
      <c r="G38" s="57">
        <v>27</v>
      </c>
      <c r="H38" s="57">
        <v>14</v>
      </c>
      <c r="I38" s="57">
        <v>41</v>
      </c>
      <c r="J38" s="58">
        <v>100</v>
      </c>
      <c r="K38" s="58">
        <v>87.5</v>
      </c>
      <c r="L38" s="58">
        <v>95.35</v>
      </c>
    </row>
    <row r="39" spans="1:12" ht="15" customHeight="1" x14ac:dyDescent="0.25">
      <c r="A39" s="55" t="s">
        <v>700</v>
      </c>
      <c r="B39" s="55">
        <v>2025</v>
      </c>
      <c r="C39" s="55">
        <v>1</v>
      </c>
      <c r="D39" s="55">
        <v>133715</v>
      </c>
      <c r="E39" s="55">
        <v>14633</v>
      </c>
      <c r="F39" s="55">
        <v>148348</v>
      </c>
      <c r="G39" s="55">
        <v>129971</v>
      </c>
      <c r="H39" s="55">
        <v>12436</v>
      </c>
      <c r="I39" s="55">
        <v>142407</v>
      </c>
      <c r="J39" s="56">
        <v>97.2</v>
      </c>
      <c r="K39" s="56">
        <v>84.99</v>
      </c>
      <c r="L39" s="56">
        <v>96</v>
      </c>
    </row>
    <row r="40" spans="1:12" ht="15" customHeight="1" x14ac:dyDescent="0.25">
      <c r="A40" s="57" t="s">
        <v>700</v>
      </c>
      <c r="B40" s="57">
        <v>2026</v>
      </c>
      <c r="C40" s="57">
        <v>1</v>
      </c>
      <c r="D40" s="57">
        <v>136551</v>
      </c>
      <c r="E40" s="57">
        <v>16282</v>
      </c>
      <c r="F40" s="57">
        <v>152833</v>
      </c>
      <c r="G40" s="57">
        <v>129197</v>
      </c>
      <c r="H40" s="57">
        <v>12360</v>
      </c>
      <c r="I40" s="57">
        <v>141557</v>
      </c>
      <c r="J40" s="58">
        <v>94.61</v>
      </c>
      <c r="K40" s="58">
        <v>75.91</v>
      </c>
      <c r="L40" s="58">
        <v>92.62</v>
      </c>
    </row>
    <row r="41" spans="1:12" ht="15" customHeight="1" x14ac:dyDescent="0.25">
      <c r="A41" s="55" t="s">
        <v>701</v>
      </c>
      <c r="B41" s="55">
        <v>2025</v>
      </c>
      <c r="C41" s="55">
        <v>32</v>
      </c>
      <c r="D41" s="55">
        <v>47</v>
      </c>
      <c r="E41" s="55">
        <v>2</v>
      </c>
      <c r="F41" s="55">
        <v>49</v>
      </c>
      <c r="G41" s="55">
        <v>47</v>
      </c>
      <c r="H41" s="55">
        <v>2</v>
      </c>
      <c r="I41" s="55">
        <v>49</v>
      </c>
      <c r="J41" s="56">
        <v>100</v>
      </c>
      <c r="K41" s="56">
        <v>100</v>
      </c>
      <c r="L41" s="56">
        <v>100</v>
      </c>
    </row>
    <row r="42" spans="1:12" ht="15" customHeight="1" x14ac:dyDescent="0.25">
      <c r="A42" s="57" t="s">
        <v>701</v>
      </c>
      <c r="B42" s="57">
        <v>2026</v>
      </c>
      <c r="C42" s="57">
        <v>48</v>
      </c>
      <c r="D42" s="57">
        <v>44</v>
      </c>
      <c r="E42" s="57">
        <v>7</v>
      </c>
      <c r="F42" s="57">
        <v>51</v>
      </c>
      <c r="G42" s="57">
        <v>37</v>
      </c>
      <c r="H42" s="57">
        <v>7</v>
      </c>
      <c r="I42" s="57">
        <v>44</v>
      </c>
      <c r="J42" s="58">
        <v>84.09</v>
      </c>
      <c r="K42" s="58">
        <v>100</v>
      </c>
      <c r="L42" s="58">
        <v>86.27</v>
      </c>
    </row>
    <row r="43" spans="1:12" ht="15" customHeight="1" x14ac:dyDescent="0.25">
      <c r="A43" s="55" t="s">
        <v>702</v>
      </c>
      <c r="B43" s="55">
        <v>2025</v>
      </c>
      <c r="C43" s="55">
        <v>19</v>
      </c>
      <c r="D43" s="55">
        <v>0</v>
      </c>
      <c r="E43" s="55">
        <v>1</v>
      </c>
      <c r="F43" s="55">
        <v>1</v>
      </c>
      <c r="G43" s="55">
        <v>0</v>
      </c>
      <c r="H43" s="55">
        <v>1</v>
      </c>
      <c r="I43" s="55">
        <v>1</v>
      </c>
      <c r="J43" s="56">
        <v>0</v>
      </c>
      <c r="K43" s="56">
        <v>100</v>
      </c>
      <c r="L43" s="56">
        <v>100</v>
      </c>
    </row>
    <row r="44" spans="1:12" ht="15" customHeight="1" x14ac:dyDescent="0.25">
      <c r="A44" s="55" t="s">
        <v>703</v>
      </c>
      <c r="B44" s="55">
        <v>2025</v>
      </c>
      <c r="C44" s="55">
        <v>21</v>
      </c>
      <c r="D44" s="55">
        <v>2</v>
      </c>
      <c r="E44" s="55">
        <v>0</v>
      </c>
      <c r="F44" s="55">
        <v>2</v>
      </c>
      <c r="G44" s="55">
        <v>1</v>
      </c>
      <c r="H44" s="55">
        <v>0</v>
      </c>
      <c r="I44" s="55">
        <v>1</v>
      </c>
      <c r="J44" s="56">
        <v>50</v>
      </c>
      <c r="K44" s="56">
        <v>0</v>
      </c>
      <c r="L44" s="56">
        <v>50</v>
      </c>
    </row>
    <row r="45" spans="1:12" ht="15" customHeight="1" x14ac:dyDescent="0.25">
      <c r="A45" s="57" t="s">
        <v>703</v>
      </c>
      <c r="B45" s="57">
        <v>2026</v>
      </c>
      <c r="C45" s="57">
        <v>20</v>
      </c>
      <c r="D45" s="57">
        <v>1</v>
      </c>
      <c r="E45" s="57">
        <v>0</v>
      </c>
      <c r="F45" s="57">
        <v>1</v>
      </c>
      <c r="G45" s="57">
        <v>0</v>
      </c>
      <c r="H45" s="57">
        <v>0</v>
      </c>
      <c r="I45" s="57">
        <v>0</v>
      </c>
      <c r="J45" s="58">
        <v>0</v>
      </c>
      <c r="K45" s="58">
        <v>0</v>
      </c>
      <c r="L45" s="58">
        <v>0</v>
      </c>
    </row>
    <row r="46" spans="1:12" ht="15" customHeight="1" x14ac:dyDescent="0.25">
      <c r="A46" s="55" t="s">
        <v>704</v>
      </c>
      <c r="B46" s="55">
        <v>2025</v>
      </c>
      <c r="C46" s="55">
        <v>24</v>
      </c>
      <c r="D46" s="55">
        <v>4558</v>
      </c>
      <c r="E46" s="55">
        <v>735</v>
      </c>
      <c r="F46" s="55">
        <v>5293</v>
      </c>
      <c r="G46" s="55">
        <v>4061</v>
      </c>
      <c r="H46" s="55">
        <v>537</v>
      </c>
      <c r="I46" s="55">
        <v>4598</v>
      </c>
      <c r="J46" s="56">
        <v>89.1</v>
      </c>
      <c r="K46" s="56">
        <v>73.06</v>
      </c>
      <c r="L46" s="56">
        <v>86.87</v>
      </c>
    </row>
    <row r="47" spans="1:12" ht="15" customHeight="1" x14ac:dyDescent="0.25">
      <c r="A47" s="57" t="s">
        <v>704</v>
      </c>
      <c r="B47" s="57">
        <v>2026</v>
      </c>
      <c r="C47" s="57">
        <v>23</v>
      </c>
      <c r="D47" s="57">
        <v>162</v>
      </c>
      <c r="E47" s="57">
        <v>162</v>
      </c>
      <c r="F47" s="57">
        <v>324</v>
      </c>
      <c r="G47" s="57">
        <v>92</v>
      </c>
      <c r="H47" s="57">
        <v>101</v>
      </c>
      <c r="I47" s="57">
        <v>193</v>
      </c>
      <c r="J47" s="58">
        <v>56.79</v>
      </c>
      <c r="K47" s="58">
        <v>62.35</v>
      </c>
      <c r="L47" s="58">
        <v>59.57</v>
      </c>
    </row>
    <row r="48" spans="1:12" ht="15" customHeight="1" x14ac:dyDescent="0.25">
      <c r="A48" s="57" t="s">
        <v>705</v>
      </c>
      <c r="B48" s="57">
        <v>2026</v>
      </c>
      <c r="C48" s="57">
        <v>32</v>
      </c>
      <c r="D48" s="57">
        <v>1972</v>
      </c>
      <c r="E48" s="57">
        <v>395</v>
      </c>
      <c r="F48" s="57">
        <v>2367</v>
      </c>
      <c r="G48" s="57">
        <v>1509</v>
      </c>
      <c r="H48" s="57">
        <v>226</v>
      </c>
      <c r="I48" s="57">
        <v>1735</v>
      </c>
      <c r="J48" s="58">
        <v>76.52</v>
      </c>
      <c r="K48" s="58">
        <v>57.22</v>
      </c>
      <c r="L48" s="58">
        <v>73.3</v>
      </c>
    </row>
    <row r="49" spans="1:12" ht="15" customHeight="1" x14ac:dyDescent="0.25">
      <c r="A49" s="55" t="s">
        <v>706</v>
      </c>
      <c r="B49" s="55">
        <v>2025</v>
      </c>
      <c r="C49" s="55">
        <v>17</v>
      </c>
      <c r="D49" s="55">
        <v>300</v>
      </c>
      <c r="E49" s="55">
        <v>38</v>
      </c>
      <c r="F49" s="55">
        <v>338</v>
      </c>
      <c r="G49" s="55">
        <v>283</v>
      </c>
      <c r="H49" s="55">
        <v>29</v>
      </c>
      <c r="I49" s="55">
        <v>312</v>
      </c>
      <c r="J49" s="56">
        <v>94.33</v>
      </c>
      <c r="K49" s="56">
        <v>76.319999999999993</v>
      </c>
      <c r="L49" s="56">
        <v>92.31</v>
      </c>
    </row>
    <row r="50" spans="1:12" ht="15" customHeight="1" x14ac:dyDescent="0.25">
      <c r="A50" s="57" t="s">
        <v>706</v>
      </c>
      <c r="B50" s="57">
        <v>2026</v>
      </c>
      <c r="C50" s="57">
        <v>17</v>
      </c>
      <c r="D50" s="57">
        <v>3</v>
      </c>
      <c r="E50" s="57">
        <v>8</v>
      </c>
      <c r="F50" s="57">
        <v>11</v>
      </c>
      <c r="G50" s="57">
        <v>2</v>
      </c>
      <c r="H50" s="57">
        <v>5</v>
      </c>
      <c r="I50" s="57">
        <v>7</v>
      </c>
      <c r="J50" s="58">
        <v>66.67</v>
      </c>
      <c r="K50" s="58">
        <v>62.5</v>
      </c>
      <c r="L50" s="58">
        <v>63.64</v>
      </c>
    </row>
    <row r="51" spans="1:12" ht="15" customHeight="1" x14ac:dyDescent="0.25">
      <c r="A51" s="57" t="s">
        <v>706</v>
      </c>
      <c r="B51" s="57">
        <v>2026</v>
      </c>
      <c r="C51" s="57">
        <v>41</v>
      </c>
      <c r="D51" s="57">
        <v>413</v>
      </c>
      <c r="E51" s="57">
        <v>67</v>
      </c>
      <c r="F51" s="57">
        <v>480</v>
      </c>
      <c r="G51" s="57">
        <v>336</v>
      </c>
      <c r="H51" s="57">
        <v>38</v>
      </c>
      <c r="I51" s="57">
        <v>374</v>
      </c>
      <c r="J51" s="58">
        <v>81.36</v>
      </c>
      <c r="K51" s="58">
        <v>56.72</v>
      </c>
      <c r="L51" s="58">
        <v>77.92</v>
      </c>
    </row>
    <row r="52" spans="1:12" ht="15" customHeight="1" x14ac:dyDescent="0.25">
      <c r="A52" s="55" t="s">
        <v>707</v>
      </c>
      <c r="B52" s="55">
        <v>2025</v>
      </c>
      <c r="C52" s="55">
        <v>8</v>
      </c>
      <c r="D52" s="55">
        <v>14411</v>
      </c>
      <c r="E52" s="55">
        <v>4973</v>
      </c>
      <c r="F52" s="55">
        <v>19384</v>
      </c>
      <c r="G52" s="55">
        <v>11783</v>
      </c>
      <c r="H52" s="55">
        <v>2994</v>
      </c>
      <c r="I52" s="55">
        <v>14777</v>
      </c>
      <c r="J52" s="56">
        <v>81.760000000000005</v>
      </c>
      <c r="K52" s="56">
        <v>60.21</v>
      </c>
      <c r="L52" s="56">
        <v>76.23</v>
      </c>
    </row>
    <row r="53" spans="1:12" ht="15" customHeight="1" x14ac:dyDescent="0.25">
      <c r="A53" s="57" t="s">
        <v>707</v>
      </c>
      <c r="B53" s="57">
        <v>2026</v>
      </c>
      <c r="C53" s="57">
        <v>8</v>
      </c>
      <c r="D53" s="57">
        <v>13376</v>
      </c>
      <c r="E53" s="57">
        <v>5196</v>
      </c>
      <c r="F53" s="57">
        <v>18572</v>
      </c>
      <c r="G53" s="57">
        <v>4245</v>
      </c>
      <c r="H53" s="57">
        <v>1300</v>
      </c>
      <c r="I53" s="57">
        <v>5545</v>
      </c>
      <c r="J53" s="58">
        <v>31.74</v>
      </c>
      <c r="K53" s="58">
        <v>25.02</v>
      </c>
      <c r="L53" s="58">
        <v>29.86</v>
      </c>
    </row>
    <row r="54" spans="1:12" ht="15" customHeight="1" x14ac:dyDescent="0.25">
      <c r="A54" s="55" t="s">
        <v>708</v>
      </c>
      <c r="B54" s="55">
        <v>2025</v>
      </c>
      <c r="C54" s="55">
        <v>35</v>
      </c>
      <c r="D54" s="55">
        <v>48</v>
      </c>
      <c r="E54" s="55">
        <v>2</v>
      </c>
      <c r="F54" s="55">
        <v>50</v>
      </c>
      <c r="G54" s="55">
        <v>48</v>
      </c>
      <c r="H54" s="55">
        <v>1</v>
      </c>
      <c r="I54" s="55">
        <v>49</v>
      </c>
      <c r="J54" s="56">
        <v>100</v>
      </c>
      <c r="K54" s="56">
        <v>50</v>
      </c>
      <c r="L54" s="56">
        <v>98</v>
      </c>
    </row>
    <row r="55" spans="1:12" ht="15" customHeight="1" x14ac:dyDescent="0.25">
      <c r="A55" s="57" t="s">
        <v>708</v>
      </c>
      <c r="B55" s="57">
        <v>2026</v>
      </c>
      <c r="C55" s="57">
        <v>51</v>
      </c>
      <c r="D55" s="57">
        <v>44</v>
      </c>
      <c r="E55" s="57">
        <v>8</v>
      </c>
      <c r="F55" s="57">
        <v>52</v>
      </c>
      <c r="G55" s="57">
        <v>26</v>
      </c>
      <c r="H55" s="57">
        <v>3</v>
      </c>
      <c r="I55" s="57">
        <v>29</v>
      </c>
      <c r="J55" s="58">
        <v>59.09</v>
      </c>
      <c r="K55" s="58">
        <v>37.5</v>
      </c>
      <c r="L55" s="58">
        <v>55.77</v>
      </c>
    </row>
    <row r="56" spans="1:12" ht="15" customHeight="1" x14ac:dyDescent="0.25">
      <c r="A56" s="55" t="s">
        <v>709</v>
      </c>
      <c r="B56" s="55">
        <v>2025</v>
      </c>
      <c r="C56" s="55">
        <v>13</v>
      </c>
      <c r="D56" s="55">
        <v>16</v>
      </c>
      <c r="E56" s="55">
        <v>19</v>
      </c>
      <c r="F56" s="55">
        <v>35</v>
      </c>
      <c r="G56" s="55">
        <v>15</v>
      </c>
      <c r="H56" s="55">
        <v>13</v>
      </c>
      <c r="I56" s="55">
        <v>28</v>
      </c>
      <c r="J56" s="56">
        <v>93.75</v>
      </c>
      <c r="K56" s="56">
        <v>68.42</v>
      </c>
      <c r="L56" s="56">
        <v>80</v>
      </c>
    </row>
    <row r="57" spans="1:12" ht="15" customHeight="1" x14ac:dyDescent="0.25">
      <c r="A57" s="57" t="s">
        <v>709</v>
      </c>
      <c r="B57" s="57">
        <v>2026</v>
      </c>
      <c r="C57" s="57">
        <v>13</v>
      </c>
      <c r="D57" s="57">
        <v>0</v>
      </c>
      <c r="E57" s="57">
        <v>2</v>
      </c>
      <c r="F57" s="57">
        <v>2</v>
      </c>
      <c r="G57" s="57">
        <v>0</v>
      </c>
      <c r="H57" s="57">
        <v>1</v>
      </c>
      <c r="I57" s="57">
        <v>1</v>
      </c>
      <c r="J57" s="58">
        <v>0</v>
      </c>
      <c r="K57" s="58">
        <v>50</v>
      </c>
      <c r="L57" s="58">
        <v>50</v>
      </c>
    </row>
    <row r="58" spans="1:12" ht="15" customHeight="1" x14ac:dyDescent="0.25">
      <c r="A58" s="57" t="s">
        <v>709</v>
      </c>
      <c r="B58" s="57">
        <v>2026</v>
      </c>
      <c r="C58" s="57">
        <v>43</v>
      </c>
      <c r="D58" s="57">
        <v>23</v>
      </c>
      <c r="E58" s="57">
        <v>2</v>
      </c>
      <c r="F58" s="57">
        <v>25</v>
      </c>
      <c r="G58" s="57">
        <v>22</v>
      </c>
      <c r="H58" s="57">
        <v>2</v>
      </c>
      <c r="I58" s="57">
        <v>24</v>
      </c>
      <c r="J58" s="58">
        <v>95.65</v>
      </c>
      <c r="K58" s="58">
        <v>100</v>
      </c>
      <c r="L58" s="58">
        <v>96</v>
      </c>
    </row>
    <row r="59" spans="1:12" ht="15" customHeight="1" x14ac:dyDescent="0.25">
      <c r="A59" s="55" t="s">
        <v>710</v>
      </c>
      <c r="B59" s="55">
        <v>2025</v>
      </c>
      <c r="C59" s="55">
        <v>3</v>
      </c>
      <c r="D59" s="55">
        <v>302</v>
      </c>
      <c r="E59" s="55">
        <v>48</v>
      </c>
      <c r="F59" s="55">
        <v>350</v>
      </c>
      <c r="G59" s="55">
        <v>249</v>
      </c>
      <c r="H59" s="55">
        <v>31</v>
      </c>
      <c r="I59" s="55">
        <v>280</v>
      </c>
      <c r="J59" s="56">
        <v>82.45</v>
      </c>
      <c r="K59" s="56">
        <v>64.58</v>
      </c>
      <c r="L59" s="56">
        <v>80</v>
      </c>
    </row>
    <row r="60" spans="1:12" ht="15" customHeight="1" x14ac:dyDescent="0.25">
      <c r="A60" s="57" t="s">
        <v>710</v>
      </c>
      <c r="B60" s="57">
        <v>2026</v>
      </c>
      <c r="C60" s="57">
        <v>3</v>
      </c>
      <c r="D60" s="57">
        <v>306</v>
      </c>
      <c r="E60" s="57">
        <v>28</v>
      </c>
      <c r="F60" s="57">
        <v>334</v>
      </c>
      <c r="G60" s="57">
        <v>261</v>
      </c>
      <c r="H60" s="57">
        <v>19</v>
      </c>
      <c r="I60" s="57">
        <v>280</v>
      </c>
      <c r="J60" s="58">
        <v>85.29</v>
      </c>
      <c r="K60" s="58">
        <v>67.86</v>
      </c>
      <c r="L60" s="58">
        <v>83.83</v>
      </c>
    </row>
    <row r="61" spans="1:12" ht="15" customHeight="1" x14ac:dyDescent="0.25">
      <c r="A61" s="57" t="s">
        <v>711</v>
      </c>
      <c r="B61" s="57">
        <v>2026</v>
      </c>
      <c r="C61" s="57">
        <v>42</v>
      </c>
      <c r="D61" s="57">
        <v>2088</v>
      </c>
      <c r="E61" s="57">
        <v>390</v>
      </c>
      <c r="F61" s="57">
        <v>2478</v>
      </c>
      <c r="G61" s="57">
        <v>1901</v>
      </c>
      <c r="H61" s="57">
        <v>242</v>
      </c>
      <c r="I61" s="57">
        <v>2143</v>
      </c>
      <c r="J61" s="58">
        <v>91.04</v>
      </c>
      <c r="K61" s="58">
        <v>62.05</v>
      </c>
      <c r="L61" s="58">
        <v>86.48</v>
      </c>
    </row>
    <row r="62" spans="1:12" ht="15" customHeight="1" x14ac:dyDescent="0.25">
      <c r="A62" s="55" t="s">
        <v>712</v>
      </c>
      <c r="B62" s="55">
        <v>2025</v>
      </c>
      <c r="C62" s="55">
        <v>23</v>
      </c>
      <c r="D62" s="55">
        <v>1652</v>
      </c>
      <c r="E62" s="55">
        <v>198</v>
      </c>
      <c r="F62" s="55">
        <v>1850</v>
      </c>
      <c r="G62" s="55">
        <v>1467</v>
      </c>
      <c r="H62" s="55">
        <v>115</v>
      </c>
      <c r="I62" s="55">
        <v>1582</v>
      </c>
      <c r="J62" s="56">
        <v>88.8</v>
      </c>
      <c r="K62" s="56">
        <v>58.08</v>
      </c>
      <c r="L62" s="56">
        <v>85.51</v>
      </c>
    </row>
    <row r="63" spans="1:12" ht="15" customHeight="1" x14ac:dyDescent="0.25">
      <c r="A63" s="57" t="s">
        <v>712</v>
      </c>
      <c r="B63" s="57">
        <v>2026</v>
      </c>
      <c r="C63" s="57">
        <v>22</v>
      </c>
      <c r="D63" s="57">
        <v>22</v>
      </c>
      <c r="E63" s="57">
        <v>37</v>
      </c>
      <c r="F63" s="57">
        <v>59</v>
      </c>
      <c r="G63" s="57">
        <v>11</v>
      </c>
      <c r="H63" s="57">
        <v>20</v>
      </c>
      <c r="I63" s="57">
        <v>31</v>
      </c>
      <c r="J63" s="58">
        <v>50</v>
      </c>
      <c r="K63" s="58">
        <v>54.05</v>
      </c>
      <c r="L63" s="58">
        <v>52.54</v>
      </c>
    </row>
    <row r="64" spans="1:12" ht="15" customHeight="1" x14ac:dyDescent="0.25">
      <c r="A64" s="57" t="s">
        <v>713</v>
      </c>
      <c r="B64" s="57">
        <v>2026</v>
      </c>
      <c r="C64" s="57">
        <v>34</v>
      </c>
      <c r="D64" s="57">
        <v>2771</v>
      </c>
      <c r="E64" s="57">
        <v>523</v>
      </c>
      <c r="F64" s="57">
        <v>3294</v>
      </c>
      <c r="G64" s="57">
        <v>2705</v>
      </c>
      <c r="H64" s="57">
        <v>471</v>
      </c>
      <c r="I64" s="57">
        <v>3176</v>
      </c>
      <c r="J64" s="58">
        <v>97.62</v>
      </c>
      <c r="K64" s="58">
        <v>90.06</v>
      </c>
      <c r="L64" s="58">
        <v>96.42</v>
      </c>
    </row>
    <row r="65" spans="1:12" ht="15" customHeight="1" x14ac:dyDescent="0.25">
      <c r="A65" s="55" t="s">
        <v>714</v>
      </c>
      <c r="B65" s="55">
        <v>2025</v>
      </c>
      <c r="C65" s="55">
        <v>31</v>
      </c>
      <c r="D65" s="55">
        <v>1805</v>
      </c>
      <c r="E65" s="55">
        <v>346</v>
      </c>
      <c r="F65" s="55">
        <v>2151</v>
      </c>
      <c r="G65" s="55">
        <v>1658</v>
      </c>
      <c r="H65" s="55">
        <v>251</v>
      </c>
      <c r="I65" s="55">
        <v>1909</v>
      </c>
      <c r="J65" s="56">
        <v>91.86</v>
      </c>
      <c r="K65" s="56">
        <v>72.540000000000006</v>
      </c>
      <c r="L65" s="56">
        <v>88.75</v>
      </c>
    </row>
    <row r="66" spans="1:12" ht="15" customHeight="1" x14ac:dyDescent="0.25">
      <c r="A66" s="57" t="s">
        <v>714</v>
      </c>
      <c r="B66" s="57">
        <v>2026</v>
      </c>
      <c r="C66" s="57">
        <v>33</v>
      </c>
      <c r="D66" s="57">
        <v>37</v>
      </c>
      <c r="E66" s="57">
        <v>64</v>
      </c>
      <c r="F66" s="57">
        <v>101</v>
      </c>
      <c r="G66" s="57">
        <v>24</v>
      </c>
      <c r="H66" s="57">
        <v>35</v>
      </c>
      <c r="I66" s="57">
        <v>59</v>
      </c>
      <c r="J66" s="58">
        <v>64.86</v>
      </c>
      <c r="K66" s="58">
        <v>54.69</v>
      </c>
      <c r="L66" s="58">
        <v>58.42</v>
      </c>
    </row>
    <row r="67" spans="1:12" ht="15" customHeight="1" x14ac:dyDescent="0.25">
      <c r="A67" s="55" t="s">
        <v>715</v>
      </c>
      <c r="B67" s="55">
        <v>2025</v>
      </c>
      <c r="C67" s="55">
        <v>11</v>
      </c>
      <c r="D67" s="55">
        <v>7</v>
      </c>
      <c r="E67" s="55">
        <v>82</v>
      </c>
      <c r="F67" s="55">
        <v>89</v>
      </c>
      <c r="G67" s="55">
        <v>5</v>
      </c>
      <c r="H67" s="55">
        <v>75</v>
      </c>
      <c r="I67" s="55">
        <v>80</v>
      </c>
      <c r="J67" s="56">
        <v>71.430000000000007</v>
      </c>
      <c r="K67" s="56">
        <v>91.46</v>
      </c>
      <c r="L67" s="56">
        <v>89.89</v>
      </c>
    </row>
    <row r="68" spans="1:12" ht="15" customHeight="1" x14ac:dyDescent="0.25">
      <c r="A68" s="57" t="s">
        <v>715</v>
      </c>
      <c r="B68" s="57">
        <v>2026</v>
      </c>
      <c r="C68" s="57">
        <v>11</v>
      </c>
      <c r="D68" s="57">
        <v>19</v>
      </c>
      <c r="E68" s="57">
        <v>79</v>
      </c>
      <c r="F68" s="57">
        <v>98</v>
      </c>
      <c r="G68" s="57">
        <v>11</v>
      </c>
      <c r="H68" s="57">
        <v>46</v>
      </c>
      <c r="I68" s="57">
        <v>57</v>
      </c>
      <c r="J68" s="58">
        <v>57.89</v>
      </c>
      <c r="K68" s="58">
        <v>58.23</v>
      </c>
      <c r="L68" s="58">
        <v>58.16</v>
      </c>
    </row>
    <row r="69" spans="1:12" ht="15" customHeight="1" x14ac:dyDescent="0.25">
      <c r="A69" s="55" t="s">
        <v>716</v>
      </c>
      <c r="B69" s="55">
        <v>2025</v>
      </c>
      <c r="C69" s="55">
        <v>12</v>
      </c>
      <c r="D69" s="55">
        <v>7267</v>
      </c>
      <c r="E69" s="55">
        <v>2440</v>
      </c>
      <c r="F69" s="55">
        <v>9707</v>
      </c>
      <c r="G69" s="55">
        <v>6677</v>
      </c>
      <c r="H69" s="55">
        <v>1912</v>
      </c>
      <c r="I69" s="55">
        <v>8589</v>
      </c>
      <c r="J69" s="56">
        <v>91.88</v>
      </c>
      <c r="K69" s="56">
        <v>78.36</v>
      </c>
      <c r="L69" s="56">
        <v>88.48</v>
      </c>
    </row>
    <row r="70" spans="1:12" ht="15" customHeight="1" x14ac:dyDescent="0.25">
      <c r="A70" s="57" t="s">
        <v>716</v>
      </c>
      <c r="B70" s="57">
        <v>2026</v>
      </c>
      <c r="C70" s="57">
        <v>12</v>
      </c>
      <c r="D70" s="57">
        <v>6029</v>
      </c>
      <c r="E70" s="57">
        <v>2281</v>
      </c>
      <c r="F70" s="57">
        <v>8310</v>
      </c>
      <c r="G70" s="57">
        <v>4802</v>
      </c>
      <c r="H70" s="57">
        <v>1472</v>
      </c>
      <c r="I70" s="57">
        <v>6274</v>
      </c>
      <c r="J70" s="58">
        <v>79.650000000000006</v>
      </c>
      <c r="K70" s="58">
        <v>64.53</v>
      </c>
      <c r="L70" s="58">
        <v>75.5</v>
      </c>
    </row>
    <row r="71" spans="1:12" ht="15" customHeight="1" x14ac:dyDescent="0.25">
      <c r="A71" s="55" t="s">
        <v>717</v>
      </c>
      <c r="B71" s="55">
        <v>2025</v>
      </c>
      <c r="C71" s="55">
        <v>40</v>
      </c>
      <c r="D71" s="55">
        <v>46</v>
      </c>
      <c r="E71" s="55">
        <v>2</v>
      </c>
      <c r="F71" s="55">
        <v>48</v>
      </c>
      <c r="G71" s="55">
        <v>46</v>
      </c>
      <c r="H71" s="55">
        <v>2</v>
      </c>
      <c r="I71" s="55">
        <v>48</v>
      </c>
      <c r="J71" s="56">
        <v>100</v>
      </c>
      <c r="K71" s="56">
        <v>100</v>
      </c>
      <c r="L71" s="56">
        <v>100</v>
      </c>
    </row>
    <row r="72" spans="1:12" ht="15" customHeight="1" x14ac:dyDescent="0.25">
      <c r="A72" s="57" t="s">
        <v>717</v>
      </c>
      <c r="B72" s="57">
        <v>2026</v>
      </c>
      <c r="C72" s="57">
        <v>56</v>
      </c>
      <c r="D72" s="57">
        <v>44</v>
      </c>
      <c r="E72" s="57">
        <v>6</v>
      </c>
      <c r="F72" s="57">
        <v>50</v>
      </c>
      <c r="G72" s="57">
        <v>40</v>
      </c>
      <c r="H72" s="57">
        <v>5</v>
      </c>
      <c r="I72" s="57">
        <v>45</v>
      </c>
      <c r="J72" s="58">
        <v>90.91</v>
      </c>
      <c r="K72" s="58">
        <v>83.33</v>
      </c>
      <c r="L72" s="58">
        <v>90</v>
      </c>
    </row>
    <row r="73" spans="1:12" ht="15" customHeight="1" x14ac:dyDescent="0.25">
      <c r="A73" s="57" t="s">
        <v>718</v>
      </c>
      <c r="B73" s="57">
        <v>2026</v>
      </c>
      <c r="C73" s="57">
        <v>31</v>
      </c>
      <c r="D73" s="57">
        <v>131878</v>
      </c>
      <c r="E73" s="57">
        <v>13804</v>
      </c>
      <c r="F73" s="57">
        <v>145682</v>
      </c>
      <c r="G73" s="57">
        <v>127106</v>
      </c>
      <c r="H73" s="57">
        <v>11277</v>
      </c>
      <c r="I73" s="57">
        <v>138383</v>
      </c>
      <c r="J73" s="58">
        <v>96.38</v>
      </c>
      <c r="K73" s="58">
        <v>81.69</v>
      </c>
      <c r="L73" s="58">
        <v>94.99</v>
      </c>
    </row>
    <row r="74" spans="1:12" ht="15" customHeight="1" x14ac:dyDescent="0.25">
      <c r="A74" s="55" t="s">
        <v>719</v>
      </c>
      <c r="B74" s="55">
        <v>2025</v>
      </c>
      <c r="C74" s="55">
        <v>28</v>
      </c>
      <c r="D74" s="55">
        <v>2</v>
      </c>
      <c r="E74" s="55">
        <v>177</v>
      </c>
      <c r="F74" s="55">
        <v>179</v>
      </c>
      <c r="G74" s="55">
        <v>1</v>
      </c>
      <c r="H74" s="55">
        <v>128</v>
      </c>
      <c r="I74" s="55">
        <v>129</v>
      </c>
      <c r="J74" s="56">
        <v>50</v>
      </c>
      <c r="K74" s="56">
        <v>72.319999999999993</v>
      </c>
      <c r="L74" s="56">
        <v>72.069999999999993</v>
      </c>
    </row>
    <row r="75" spans="1:12" ht="15" customHeight="1" x14ac:dyDescent="0.25">
      <c r="A75" s="55" t="s">
        <v>719</v>
      </c>
      <c r="B75" s="55">
        <v>2025</v>
      </c>
      <c r="C75" s="55">
        <v>30</v>
      </c>
      <c r="D75" s="55">
        <v>130925</v>
      </c>
      <c r="E75" s="55">
        <v>13792</v>
      </c>
      <c r="F75" s="55">
        <v>144717</v>
      </c>
      <c r="G75" s="55">
        <v>130052</v>
      </c>
      <c r="H75" s="55">
        <v>13243</v>
      </c>
      <c r="I75" s="55">
        <v>143295</v>
      </c>
      <c r="J75" s="56">
        <v>99.33</v>
      </c>
      <c r="K75" s="56">
        <v>96.02</v>
      </c>
      <c r="L75" s="56">
        <v>99.02</v>
      </c>
    </row>
    <row r="76" spans="1:12" ht="15" customHeight="1" x14ac:dyDescent="0.25">
      <c r="A76" s="57" t="s">
        <v>719</v>
      </c>
      <c r="B76" s="57">
        <v>2026</v>
      </c>
      <c r="C76" s="57">
        <v>28</v>
      </c>
      <c r="D76" s="57">
        <v>0</v>
      </c>
      <c r="E76" s="57">
        <v>32</v>
      </c>
      <c r="F76" s="57">
        <v>32</v>
      </c>
      <c r="G76" s="57">
        <v>0</v>
      </c>
      <c r="H76" s="57">
        <v>29</v>
      </c>
      <c r="I76" s="57">
        <v>29</v>
      </c>
      <c r="J76" s="58">
        <v>0</v>
      </c>
      <c r="K76" s="58">
        <v>90.63</v>
      </c>
      <c r="L76" s="58">
        <v>90.63</v>
      </c>
    </row>
    <row r="77" spans="1:12" ht="15" customHeight="1" x14ac:dyDescent="0.25">
      <c r="A77" s="57" t="s">
        <v>719</v>
      </c>
      <c r="B77" s="57">
        <v>2026</v>
      </c>
      <c r="C77" s="57">
        <v>30</v>
      </c>
      <c r="D77" s="57">
        <v>1821</v>
      </c>
      <c r="E77" s="57">
        <v>1562</v>
      </c>
      <c r="F77" s="57">
        <v>3383</v>
      </c>
      <c r="G77" s="57">
        <v>1757</v>
      </c>
      <c r="H77" s="57">
        <v>1481</v>
      </c>
      <c r="I77" s="57">
        <v>3238</v>
      </c>
      <c r="J77" s="58">
        <v>96.49</v>
      </c>
      <c r="K77" s="58">
        <v>94.81</v>
      </c>
      <c r="L77" s="58">
        <v>95.71</v>
      </c>
    </row>
    <row r="78" spans="1:12" ht="15" customHeight="1" x14ac:dyDescent="0.25">
      <c r="A78" s="55" t="s">
        <v>720</v>
      </c>
      <c r="B78" s="55">
        <v>2025</v>
      </c>
      <c r="C78" s="55">
        <v>29</v>
      </c>
      <c r="D78" s="55">
        <v>14444</v>
      </c>
      <c r="E78" s="55">
        <v>4917</v>
      </c>
      <c r="F78" s="55">
        <v>19361</v>
      </c>
      <c r="G78" s="55">
        <v>11619</v>
      </c>
      <c r="H78" s="55">
        <v>2838</v>
      </c>
      <c r="I78" s="55">
        <v>14457</v>
      </c>
      <c r="J78" s="56">
        <v>80.44</v>
      </c>
      <c r="K78" s="56">
        <v>57.72</v>
      </c>
      <c r="L78" s="56">
        <v>74.67</v>
      </c>
    </row>
    <row r="79" spans="1:12" ht="15" customHeight="1" x14ac:dyDescent="0.25">
      <c r="A79" s="57" t="s">
        <v>720</v>
      </c>
      <c r="B79" s="57">
        <v>2026</v>
      </c>
      <c r="C79" s="57">
        <v>29</v>
      </c>
      <c r="D79" s="57">
        <v>13178</v>
      </c>
      <c r="E79" s="57">
        <v>5024</v>
      </c>
      <c r="F79" s="57">
        <v>18202</v>
      </c>
      <c r="G79" s="57">
        <v>8286</v>
      </c>
      <c r="H79" s="57">
        <v>2241</v>
      </c>
      <c r="I79" s="57">
        <v>10527</v>
      </c>
      <c r="J79" s="58">
        <v>62.88</v>
      </c>
      <c r="K79" s="58">
        <v>44.61</v>
      </c>
      <c r="L79" s="58">
        <v>57.83</v>
      </c>
    </row>
    <row r="80" spans="1:12" ht="15" customHeight="1" x14ac:dyDescent="0.25">
      <c r="A80" s="55" t="s">
        <v>721</v>
      </c>
      <c r="B80" s="55">
        <v>2025</v>
      </c>
      <c r="C80" s="55">
        <v>4</v>
      </c>
      <c r="D80" s="55">
        <v>129657</v>
      </c>
      <c r="E80" s="55">
        <v>16152</v>
      </c>
      <c r="F80" s="55">
        <v>145809</v>
      </c>
      <c r="G80" s="55">
        <v>87865</v>
      </c>
      <c r="H80" s="55">
        <v>4203</v>
      </c>
      <c r="I80" s="55">
        <v>92068</v>
      </c>
      <c r="J80" s="56">
        <v>67.77</v>
      </c>
      <c r="K80" s="56">
        <v>26.02</v>
      </c>
      <c r="L80" s="56">
        <v>63.14</v>
      </c>
    </row>
    <row r="81" spans="1:12" ht="15" customHeight="1" x14ac:dyDescent="0.25">
      <c r="A81" s="57" t="s">
        <v>721</v>
      </c>
      <c r="B81" s="57">
        <v>2026</v>
      </c>
      <c r="C81" s="57">
        <v>4</v>
      </c>
      <c r="D81" s="57">
        <v>129936</v>
      </c>
      <c r="E81" s="57">
        <v>16959</v>
      </c>
      <c r="F81" s="57">
        <v>146895</v>
      </c>
      <c r="G81" s="57">
        <v>93378</v>
      </c>
      <c r="H81" s="57">
        <v>5027</v>
      </c>
      <c r="I81" s="57">
        <v>98405</v>
      </c>
      <c r="J81" s="58">
        <v>71.86</v>
      </c>
      <c r="K81" s="58">
        <v>29.64</v>
      </c>
      <c r="L81" s="58">
        <v>66.989999999999995</v>
      </c>
    </row>
    <row r="82" spans="1:12" ht="15" customHeight="1" x14ac:dyDescent="0.25">
      <c r="A82" s="55" t="s">
        <v>722</v>
      </c>
      <c r="B82" s="55">
        <v>2025</v>
      </c>
      <c r="C82" s="55">
        <v>34</v>
      </c>
      <c r="D82" s="55">
        <v>49</v>
      </c>
      <c r="E82" s="55">
        <v>3</v>
      </c>
      <c r="F82" s="55">
        <v>52</v>
      </c>
      <c r="G82" s="55">
        <v>47</v>
      </c>
      <c r="H82" s="55">
        <v>1</v>
      </c>
      <c r="I82" s="55">
        <v>48</v>
      </c>
      <c r="J82" s="56">
        <v>95.92</v>
      </c>
      <c r="K82" s="56">
        <v>33.33</v>
      </c>
      <c r="L82" s="56">
        <v>92.31</v>
      </c>
    </row>
    <row r="83" spans="1:12" ht="15" customHeight="1" x14ac:dyDescent="0.25">
      <c r="A83" s="57" t="s">
        <v>722</v>
      </c>
      <c r="B83" s="57">
        <v>2026</v>
      </c>
      <c r="C83" s="57">
        <v>50</v>
      </c>
      <c r="D83" s="57">
        <v>45</v>
      </c>
      <c r="E83" s="57">
        <v>5</v>
      </c>
      <c r="F83" s="57">
        <v>50</v>
      </c>
      <c r="G83" s="57">
        <v>45</v>
      </c>
      <c r="H83" s="57">
        <v>5</v>
      </c>
      <c r="I83" s="57">
        <v>50</v>
      </c>
      <c r="J83" s="58">
        <v>100</v>
      </c>
      <c r="K83" s="58">
        <v>100</v>
      </c>
      <c r="L83" s="58">
        <v>100</v>
      </c>
    </row>
    <row r="84" spans="1:12" ht="15" customHeight="1" x14ac:dyDescent="0.25">
      <c r="A84" s="55" t="s">
        <v>723</v>
      </c>
      <c r="B84" s="55">
        <v>2025</v>
      </c>
      <c r="C84" s="55">
        <v>27</v>
      </c>
      <c r="D84" s="55">
        <v>137778</v>
      </c>
      <c r="E84" s="55">
        <v>17065</v>
      </c>
      <c r="F84" s="55">
        <v>154843</v>
      </c>
      <c r="G84" s="55">
        <v>130744</v>
      </c>
      <c r="H84" s="55">
        <v>12989</v>
      </c>
      <c r="I84" s="55">
        <v>143733</v>
      </c>
      <c r="J84" s="56">
        <v>94.89</v>
      </c>
      <c r="K84" s="56">
        <v>76.11</v>
      </c>
      <c r="L84" s="56">
        <v>92.82</v>
      </c>
    </row>
    <row r="85" spans="1:12" ht="15" customHeight="1" x14ac:dyDescent="0.25">
      <c r="A85" s="57" t="s">
        <v>723</v>
      </c>
      <c r="B85" s="57">
        <v>2026</v>
      </c>
      <c r="C85" s="57">
        <v>27</v>
      </c>
      <c r="D85" s="57">
        <v>3169</v>
      </c>
      <c r="E85" s="57">
        <v>2849</v>
      </c>
      <c r="F85" s="57">
        <v>6018</v>
      </c>
      <c r="G85" s="57">
        <v>1938</v>
      </c>
      <c r="H85" s="57">
        <v>1434</v>
      </c>
      <c r="I85" s="57">
        <v>3372</v>
      </c>
      <c r="J85" s="58">
        <v>61.15</v>
      </c>
      <c r="K85" s="58">
        <v>50.33</v>
      </c>
      <c r="L85" s="58">
        <v>56.03</v>
      </c>
    </row>
    <row r="86" spans="1:12" ht="15" customHeight="1" x14ac:dyDescent="0.25">
      <c r="A86" s="55" t="s">
        <v>724</v>
      </c>
      <c r="B86" s="55">
        <v>2025</v>
      </c>
      <c r="C86" s="55">
        <v>39</v>
      </c>
      <c r="D86" s="55">
        <v>47</v>
      </c>
      <c r="E86" s="55">
        <v>2</v>
      </c>
      <c r="F86" s="55">
        <v>49</v>
      </c>
      <c r="G86" s="55">
        <v>47</v>
      </c>
      <c r="H86" s="55">
        <v>2</v>
      </c>
      <c r="I86" s="55">
        <v>49</v>
      </c>
      <c r="J86" s="56">
        <v>100</v>
      </c>
      <c r="K86" s="56">
        <v>100</v>
      </c>
      <c r="L86" s="56">
        <v>100</v>
      </c>
    </row>
    <row r="87" spans="1:12" ht="15" customHeight="1" x14ac:dyDescent="0.25">
      <c r="A87" s="57" t="s">
        <v>724</v>
      </c>
      <c r="B87" s="57">
        <v>2026</v>
      </c>
      <c r="C87" s="57">
        <v>55</v>
      </c>
      <c r="D87" s="57">
        <v>44</v>
      </c>
      <c r="E87" s="57">
        <v>4</v>
      </c>
      <c r="F87" s="57">
        <v>48</v>
      </c>
      <c r="G87" s="57">
        <v>42</v>
      </c>
      <c r="H87" s="57">
        <v>4</v>
      </c>
      <c r="I87" s="57">
        <v>46</v>
      </c>
      <c r="J87" s="58">
        <v>95.45</v>
      </c>
      <c r="K87" s="58">
        <v>100</v>
      </c>
      <c r="L87" s="58">
        <v>95.83</v>
      </c>
    </row>
    <row r="88" spans="1:12" ht="15" customHeight="1" x14ac:dyDescent="0.25">
      <c r="A88" s="55" t="s">
        <v>725</v>
      </c>
      <c r="B88" s="55">
        <v>2025</v>
      </c>
      <c r="C88" s="55">
        <v>5</v>
      </c>
      <c r="D88" s="55">
        <v>123592</v>
      </c>
      <c r="E88" s="55">
        <v>13059</v>
      </c>
      <c r="F88" s="55">
        <v>136651</v>
      </c>
      <c r="G88" s="55">
        <v>106699</v>
      </c>
      <c r="H88" s="55">
        <v>6397</v>
      </c>
      <c r="I88" s="55">
        <v>113096</v>
      </c>
      <c r="J88" s="56">
        <v>86.33</v>
      </c>
      <c r="K88" s="56">
        <v>48.99</v>
      </c>
      <c r="L88" s="56">
        <v>82.76</v>
      </c>
    </row>
    <row r="89" spans="1:12" ht="15" customHeight="1" x14ac:dyDescent="0.25">
      <c r="A89" s="57" t="s">
        <v>725</v>
      </c>
      <c r="B89" s="57">
        <v>2026</v>
      </c>
      <c r="C89" s="57">
        <v>5</v>
      </c>
      <c r="D89" s="57">
        <v>5124</v>
      </c>
      <c r="E89" s="57">
        <v>3611</v>
      </c>
      <c r="F89" s="57">
        <v>8735</v>
      </c>
      <c r="G89" s="57">
        <v>3006</v>
      </c>
      <c r="H89" s="57">
        <v>1474</v>
      </c>
      <c r="I89" s="57">
        <v>4480</v>
      </c>
      <c r="J89" s="58">
        <v>58.67</v>
      </c>
      <c r="K89" s="58">
        <v>40.82</v>
      </c>
      <c r="L89" s="58">
        <v>51.29</v>
      </c>
    </row>
    <row r="90" spans="1:12" ht="15" customHeight="1" x14ac:dyDescent="0.25">
      <c r="A90" s="57" t="s">
        <v>725</v>
      </c>
      <c r="B90" s="57">
        <v>2026</v>
      </c>
      <c r="C90" s="57">
        <v>36</v>
      </c>
      <c r="D90" s="57">
        <v>121273</v>
      </c>
      <c r="E90" s="57">
        <v>10746</v>
      </c>
      <c r="F90" s="57">
        <v>132019</v>
      </c>
      <c r="G90" s="57">
        <v>108672</v>
      </c>
      <c r="H90" s="57">
        <v>6291</v>
      </c>
      <c r="I90" s="57">
        <v>114963</v>
      </c>
      <c r="J90" s="58">
        <v>89.61</v>
      </c>
      <c r="K90" s="58">
        <v>58.54</v>
      </c>
      <c r="L90" s="58">
        <v>87.08</v>
      </c>
    </row>
    <row r="91" spans="1:12" ht="15" customHeight="1" x14ac:dyDescent="0.25">
      <c r="A91" s="57" t="s">
        <v>726</v>
      </c>
      <c r="B91" s="57">
        <v>2026</v>
      </c>
      <c r="C91" s="57">
        <v>46</v>
      </c>
      <c r="D91" s="57">
        <v>177</v>
      </c>
      <c r="E91" s="57">
        <v>3</v>
      </c>
      <c r="F91" s="57">
        <v>180</v>
      </c>
      <c r="G91" s="57">
        <v>171</v>
      </c>
      <c r="H91" s="57">
        <v>3</v>
      </c>
      <c r="I91" s="57">
        <v>174</v>
      </c>
      <c r="J91" s="58">
        <v>96.61</v>
      </c>
      <c r="K91" s="58">
        <v>100</v>
      </c>
      <c r="L91" s="58">
        <v>96.67</v>
      </c>
    </row>
    <row r="92" spans="1:12" ht="15" customHeight="1" x14ac:dyDescent="0.25">
      <c r="A92" s="57" t="s">
        <v>727</v>
      </c>
      <c r="B92" s="57">
        <v>2026</v>
      </c>
      <c r="C92" s="57">
        <v>47</v>
      </c>
      <c r="D92" s="57">
        <v>14</v>
      </c>
      <c r="E92" s="57">
        <v>1</v>
      </c>
      <c r="F92" s="57">
        <v>15</v>
      </c>
      <c r="G92" s="57">
        <v>13</v>
      </c>
      <c r="H92" s="57">
        <v>1</v>
      </c>
      <c r="I92" s="57">
        <v>14</v>
      </c>
      <c r="J92" s="58">
        <v>92.86</v>
      </c>
      <c r="K92" s="58">
        <v>100</v>
      </c>
      <c r="L92" s="58">
        <v>93.33</v>
      </c>
    </row>
    <row r="93" spans="1:12" ht="15" customHeight="1" x14ac:dyDescent="0.25">
      <c r="A93" s="57" t="s">
        <v>728</v>
      </c>
      <c r="B93" s="57">
        <v>2026</v>
      </c>
      <c r="C93" s="57">
        <v>26</v>
      </c>
      <c r="D93" s="57">
        <v>131787</v>
      </c>
      <c r="E93" s="57">
        <v>13783</v>
      </c>
      <c r="F93" s="57">
        <v>145570</v>
      </c>
      <c r="G93" s="57">
        <v>129662</v>
      </c>
      <c r="H93" s="57">
        <v>12494</v>
      </c>
      <c r="I93" s="57">
        <v>142156</v>
      </c>
      <c r="J93" s="58">
        <v>98.39</v>
      </c>
      <c r="K93" s="58">
        <v>90.65</v>
      </c>
      <c r="L93" s="58">
        <v>97.65</v>
      </c>
    </row>
    <row r="94" spans="1:12" ht="15" customHeight="1" x14ac:dyDescent="0.25">
      <c r="A94" s="55" t="s">
        <v>729</v>
      </c>
      <c r="B94" s="55">
        <v>2025</v>
      </c>
      <c r="C94" s="55">
        <v>2</v>
      </c>
      <c r="D94" s="55">
        <v>133317</v>
      </c>
      <c r="E94" s="55">
        <v>14310</v>
      </c>
      <c r="F94" s="55">
        <v>147627</v>
      </c>
      <c r="G94" s="55">
        <v>131118</v>
      </c>
      <c r="H94" s="55">
        <v>12744</v>
      </c>
      <c r="I94" s="55">
        <v>143862</v>
      </c>
      <c r="J94" s="56">
        <v>98.35</v>
      </c>
      <c r="K94" s="56">
        <v>89.06</v>
      </c>
      <c r="L94" s="56">
        <v>97.45</v>
      </c>
    </row>
    <row r="95" spans="1:12" ht="15" customHeight="1" x14ac:dyDescent="0.25">
      <c r="A95" s="57" t="s">
        <v>729</v>
      </c>
      <c r="B95" s="57">
        <v>2026</v>
      </c>
      <c r="C95" s="57">
        <v>2</v>
      </c>
      <c r="D95" s="57">
        <v>136257</v>
      </c>
      <c r="E95" s="57">
        <v>16103</v>
      </c>
      <c r="F95" s="57">
        <v>152360</v>
      </c>
      <c r="G95" s="57">
        <v>132707</v>
      </c>
      <c r="H95" s="57">
        <v>13909</v>
      </c>
      <c r="I95" s="57">
        <v>146616</v>
      </c>
      <c r="J95" s="58">
        <v>97.39</v>
      </c>
      <c r="K95" s="58">
        <v>86.38</v>
      </c>
      <c r="L95" s="58">
        <v>96.23</v>
      </c>
    </row>
    <row r="96" spans="1:12" ht="15" customHeight="1" x14ac:dyDescent="0.25">
      <c r="A96" s="55" t="s">
        <v>730</v>
      </c>
      <c r="B96" s="55">
        <v>2025</v>
      </c>
      <c r="C96" s="55">
        <v>33</v>
      </c>
      <c r="D96" s="55">
        <v>46</v>
      </c>
      <c r="E96" s="55">
        <v>2</v>
      </c>
      <c r="F96" s="55">
        <v>48</v>
      </c>
      <c r="G96" s="55">
        <v>46</v>
      </c>
      <c r="H96" s="55">
        <v>2</v>
      </c>
      <c r="I96" s="55">
        <v>48</v>
      </c>
      <c r="J96" s="56">
        <v>100</v>
      </c>
      <c r="K96" s="56">
        <v>100</v>
      </c>
      <c r="L96" s="56">
        <v>100</v>
      </c>
    </row>
    <row r="97" spans="1:12" ht="15" customHeight="1" x14ac:dyDescent="0.25">
      <c r="A97" s="57" t="s">
        <v>730</v>
      </c>
      <c r="B97" s="57">
        <v>2026</v>
      </c>
      <c r="C97" s="57">
        <v>49</v>
      </c>
      <c r="D97" s="57">
        <v>44</v>
      </c>
      <c r="E97" s="57">
        <v>7</v>
      </c>
      <c r="F97" s="57">
        <v>51</v>
      </c>
      <c r="G97" s="57">
        <v>41</v>
      </c>
      <c r="H97" s="57">
        <v>7</v>
      </c>
      <c r="I97" s="57">
        <v>48</v>
      </c>
      <c r="J97" s="58">
        <v>93.18</v>
      </c>
      <c r="K97" s="58">
        <v>100</v>
      </c>
      <c r="L97" s="58">
        <v>94.12</v>
      </c>
    </row>
  </sheetData>
  <autoFilter ref="A1:L97" xr:uid="{00000000-0009-0000-0000-00003B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Summary</vt:lpstr>
      <vt:lpstr>Overall Summary</vt:lpstr>
      <vt:lpstr>Swat-Overall Pass %</vt:lpstr>
      <vt:lpstr>Swat-Group Wise Pass %</vt:lpstr>
      <vt:lpstr>Swat-Subject Wise Pass %</vt:lpstr>
      <vt:lpstr>Abbottabad-Group Wise Pass %</vt:lpstr>
      <vt:lpstr>Abbottabad-Overall Pass %</vt:lpstr>
      <vt:lpstr>Abbottabad-Subject Wise Pass %</vt:lpstr>
      <vt:lpstr>Bahawalpur-General Pass Percent</vt:lpstr>
      <vt:lpstr>Bahawalpur-Result at a Glance</vt:lpstr>
      <vt:lpstr>Bahawalpur-District Wise Pass %</vt:lpstr>
      <vt:lpstr>Bahawalpur-Subject Wise Pass %</vt:lpstr>
      <vt:lpstr>Bannu-Result at a Glance</vt:lpstr>
      <vt:lpstr>FSD-Overall Pass %</vt:lpstr>
      <vt:lpstr>FSD-District Wise Regular</vt:lpstr>
      <vt:lpstr>FSD-District Wise Private</vt:lpstr>
      <vt:lpstr>FSD-Overall Statistical Data</vt:lpstr>
      <vt:lpstr>FSD-Subject Wise Pass % (Regula</vt:lpstr>
      <vt:lpstr>FSD-Subject Wise Pass % (Privat</vt:lpstr>
      <vt:lpstr>Gujranwala-Overall Pass %</vt:lpstr>
      <vt:lpstr>Gujranwala-Group Wise Pass %</vt:lpstr>
      <vt:lpstr>Gujranwala-Tech Group Wise Pass</vt:lpstr>
      <vt:lpstr>Gujranwala-Subject Wise Pass %</vt:lpstr>
      <vt:lpstr>Kohat-Science Group</vt:lpstr>
      <vt:lpstr>Kohat-General Group</vt:lpstr>
      <vt:lpstr>Kohat-Overall Result (9th+10th)</vt:lpstr>
      <vt:lpstr>Kohat-Subject Wise Pass %</vt:lpstr>
      <vt:lpstr>Lahore-Science Group</vt:lpstr>
      <vt:lpstr>Lahore-Humanities Group</vt:lpstr>
      <vt:lpstr>Lahore-Tech Group</vt:lpstr>
      <vt:lpstr>Lahore-Overall Pass %</vt:lpstr>
      <vt:lpstr>Lahore-Statistical Data</vt:lpstr>
      <vt:lpstr>Lahore-Subject Wise Pass %</vt:lpstr>
      <vt:lpstr>Mardan-Science Group</vt:lpstr>
      <vt:lpstr>Mardan-Humanities Group</vt:lpstr>
      <vt:lpstr>Mardan-Overall Result</vt:lpstr>
      <vt:lpstr>Peshawar-Group Wise Distributio</vt:lpstr>
      <vt:lpstr>Peshawar-Gender Wise Result</vt:lpstr>
      <vt:lpstr>Peshawar-Subject Wise Pass %</vt:lpstr>
      <vt:lpstr>Rawalpindi-Group Wise Pass %</vt:lpstr>
      <vt:lpstr>Rawalpindi-Matric-Tech Group Pa</vt:lpstr>
      <vt:lpstr>Rawalpindi-Result Statistical D</vt:lpstr>
      <vt:lpstr>Rawalpindi-District Wise Perfor</vt:lpstr>
      <vt:lpstr>Rawalpindi-Subject Wise Pass %</vt:lpstr>
      <vt:lpstr>Sahiwal-Overall Summary</vt:lpstr>
      <vt:lpstr>Sahiwal-Group Wise Pass %</vt:lpstr>
      <vt:lpstr>Sargodha-Overall Pass %</vt:lpstr>
      <vt:lpstr>Sargodha-Group Wise Pass %</vt:lpstr>
      <vt:lpstr>Sargodha-Statistical Data</vt:lpstr>
      <vt:lpstr>Sargodha-Subject Wise Pass %</vt:lpstr>
      <vt:lpstr>DGK-Overall Pass %</vt:lpstr>
      <vt:lpstr>DGK-Group Wise Regular Private</vt:lpstr>
      <vt:lpstr>DGK-Group Wise Male Female</vt:lpstr>
      <vt:lpstr>DGK-Gender Wise Pass %</vt:lpstr>
      <vt:lpstr>DGK-District Wise Pass %</vt:lpstr>
      <vt:lpstr>DGK-Statistical Data</vt:lpstr>
      <vt:lpstr>DGK-Subject Wise Pass %</vt:lpstr>
      <vt:lpstr>FBISE-Overall Pass %</vt:lpstr>
      <vt:lpstr>FBISE-Group Wise Pass %</vt:lpstr>
      <vt:lpstr>FBISE-Subject Wise Pass 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AHM3D UM3R</cp:lastModifiedBy>
  <cp:revision>0</cp:revision>
  <dcterms:created xsi:type="dcterms:W3CDTF">2026-09-09T11:50:43Z</dcterms:created>
  <dcterms:modified xsi:type="dcterms:W3CDTF">2026-09-11T09:28:19Z</dcterms:modified>
  <dc:language>en-US</dc:language>
</cp:coreProperties>
</file>